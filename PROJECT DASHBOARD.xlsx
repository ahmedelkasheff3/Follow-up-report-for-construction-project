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2.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esktop\"/>
    </mc:Choice>
  </mc:AlternateContent>
  <bookViews>
    <workbookView xWindow="-105" yWindow="-105" windowWidth="23250" windowHeight="12570" activeTab="2"/>
  </bookViews>
  <sheets>
    <sheet name="BOQ" sheetId="1" r:id="rId1"/>
    <sheet name="Project Data" sheetId="4" r:id="rId2"/>
    <sheet name="Dashboard" sheetId="10" r:id="rId3"/>
  </sheets>
  <definedNames>
    <definedName name="_xlnm.Print_Area" localSheetId="2">Dashboard!$B$2:$T$46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O11" i="10" l="1"/>
  <c r="AP11" i="10"/>
  <c r="AQ11" i="10"/>
  <c r="AR11" i="10"/>
  <c r="AS11" i="10"/>
  <c r="AT11" i="10"/>
  <c r="AU11" i="10"/>
  <c r="AV11" i="10"/>
  <c r="AW11" i="10"/>
  <c r="AX11" i="10"/>
  <c r="AN11" i="10"/>
  <c r="AN10" i="10"/>
  <c r="AO10" i="10"/>
  <c r="AP10" i="10"/>
  <c r="AQ10" i="10"/>
  <c r="AR10" i="10"/>
  <c r="AS10" i="10"/>
  <c r="AT10" i="10"/>
  <c r="AU10" i="10"/>
  <c r="AV10" i="10"/>
  <c r="AW10" i="10"/>
  <c r="AX10" i="10"/>
  <c r="Z16" i="10"/>
  <c r="J11" i="10"/>
  <c r="F11" i="10"/>
  <c r="AE20" i="10"/>
  <c r="N8" i="10"/>
  <c r="AA5" i="10" l="1"/>
  <c r="K14" i="10"/>
  <c r="G14" i="10"/>
  <c r="AA4" i="10"/>
  <c r="N11" i="10" l="1"/>
  <c r="F8" i="10"/>
  <c r="Z10" i="10" s="1"/>
  <c r="J5" i="10"/>
  <c r="F5" i="10"/>
  <c r="Z23" i="10" s="1"/>
  <c r="B14" i="10" s="1"/>
  <c r="G74" i="1"/>
  <c r="G69" i="1"/>
  <c r="G70" i="1"/>
  <c r="G71" i="1"/>
  <c r="G72" i="1"/>
  <c r="G73" i="1"/>
  <c r="G68" i="1"/>
  <c r="F74" i="1"/>
  <c r="F73" i="1"/>
  <c r="F72" i="1"/>
  <c r="F71" i="1"/>
  <c r="E73" i="1"/>
  <c r="E72" i="1"/>
  <c r="E71" i="1"/>
  <c r="F70" i="1"/>
  <c r="F69" i="1"/>
  <c r="F68" i="1"/>
  <c r="E69" i="1"/>
  <c r="E68" i="1"/>
  <c r="C81" i="1"/>
  <c r="D25" i="4"/>
  <c r="D23" i="4"/>
  <c r="D20" i="4"/>
  <c r="D19" i="4"/>
  <c r="D18" i="4"/>
  <c r="D17" i="4"/>
  <c r="D24" i="4"/>
  <c r="D22" i="4"/>
  <c r="D21" i="4"/>
  <c r="B17" i="4"/>
  <c r="D16" i="4"/>
  <c r="D12" i="4"/>
  <c r="C12" i="4"/>
  <c r="D6" i="4"/>
  <c r="C80" i="1"/>
  <c r="C79" i="1"/>
  <c r="C78" i="1"/>
  <c r="C77" i="1"/>
  <c r="C76" i="1"/>
  <c r="C75" i="1"/>
  <c r="C74" i="1"/>
  <c r="C73" i="1"/>
  <c r="C72" i="1"/>
  <c r="C71" i="1"/>
  <c r="C70" i="1"/>
  <c r="C69" i="1"/>
  <c r="C68" i="1"/>
  <c r="F66" i="1"/>
  <c r="F65" i="1"/>
  <c r="F64" i="1"/>
  <c r="F63" i="1"/>
  <c r="F62" i="1"/>
  <c r="F60" i="1"/>
  <c r="F59" i="1"/>
  <c r="F58" i="1"/>
  <c r="F57" i="1"/>
  <c r="F56" i="1"/>
  <c r="F55" i="1"/>
  <c r="F53" i="1"/>
  <c r="F52" i="1"/>
  <c r="F51" i="1"/>
  <c r="F50" i="1"/>
  <c r="F49" i="1"/>
  <c r="F47" i="1"/>
  <c r="F46" i="1"/>
  <c r="F45" i="1"/>
  <c r="F43" i="1"/>
  <c r="F42" i="1"/>
  <c r="F40" i="1"/>
  <c r="F39" i="1"/>
  <c r="F38" i="1"/>
  <c r="F37" i="1"/>
  <c r="F36" i="1"/>
  <c r="F34" i="1"/>
  <c r="F33" i="1"/>
  <c r="F31" i="1"/>
  <c r="F30" i="1"/>
  <c r="F28" i="1"/>
  <c r="F27" i="1"/>
  <c r="F26" i="1"/>
  <c r="F24" i="1"/>
  <c r="F22" i="1"/>
  <c r="F21" i="1"/>
  <c r="F20" i="1"/>
  <c r="F18" i="1"/>
  <c r="F17" i="1"/>
  <c r="F16" i="1"/>
  <c r="F15" i="1"/>
  <c r="F14" i="1"/>
  <c r="F13" i="1"/>
  <c r="F11" i="1"/>
  <c r="F10" i="1"/>
  <c r="N5" i="10" l="1"/>
  <c r="Z25" i="10" s="1"/>
  <c r="Z24" i="10" s="1"/>
</calcChain>
</file>

<file path=xl/sharedStrings.xml><?xml version="1.0" encoding="utf-8"?>
<sst xmlns="http://schemas.openxmlformats.org/spreadsheetml/2006/main" count="255" uniqueCount="182">
  <si>
    <t>ITEM</t>
  </si>
  <si>
    <t>DESCRIPTION</t>
  </si>
  <si>
    <t>UNIT</t>
  </si>
  <si>
    <t>QTY.</t>
  </si>
  <si>
    <t>UNIT RATE</t>
  </si>
  <si>
    <t>TOTAL PRICE</t>
  </si>
  <si>
    <t>Concrete Works</t>
  </si>
  <si>
    <t>Earth Works</t>
  </si>
  <si>
    <t>Protection Works</t>
  </si>
  <si>
    <t>Heat Insulation</t>
  </si>
  <si>
    <t>Masonry Works</t>
  </si>
  <si>
    <t>Rendering Works</t>
  </si>
  <si>
    <t>Painting Works</t>
  </si>
  <si>
    <t>Tiling Works</t>
  </si>
  <si>
    <t>Doors &amp; Windows</t>
  </si>
  <si>
    <t>Metal Works</t>
  </si>
  <si>
    <t>10.1</t>
  </si>
  <si>
    <t>No.</t>
  </si>
  <si>
    <t>10.2</t>
  </si>
  <si>
    <t>10.3</t>
  </si>
  <si>
    <t>Distribution Boards</t>
  </si>
  <si>
    <t>11.1</t>
  </si>
  <si>
    <t>11.2</t>
  </si>
  <si>
    <t>11.4</t>
  </si>
  <si>
    <t>Lighting Fixtures and Switches</t>
  </si>
  <si>
    <t>Earthing System</t>
  </si>
  <si>
    <t>Site Layout</t>
  </si>
  <si>
    <t>12.1</t>
  </si>
  <si>
    <t>12.2</t>
  </si>
  <si>
    <t>12.3</t>
  </si>
  <si>
    <t>12.4</t>
  </si>
  <si>
    <t>Plumbing Works</t>
  </si>
  <si>
    <t>Electrical Works</t>
  </si>
  <si>
    <t>1.</t>
  </si>
  <si>
    <t>2.</t>
  </si>
  <si>
    <t>3.</t>
  </si>
  <si>
    <t>4.</t>
  </si>
  <si>
    <t>5.</t>
  </si>
  <si>
    <t>6.</t>
  </si>
  <si>
    <t>7.</t>
  </si>
  <si>
    <t>8.</t>
  </si>
  <si>
    <t>9.</t>
  </si>
  <si>
    <t>10.</t>
  </si>
  <si>
    <t>11.</t>
  </si>
  <si>
    <t>12.</t>
  </si>
  <si>
    <t>13.</t>
  </si>
  <si>
    <t>Supply and install concrete hollow / solid blocks for walls Sub Structure solid block work 25 cm thickness</t>
  </si>
  <si>
    <t>Excavation in all types of soil except rock from ground level to required depth, including dewatering, supporting excavation sides, and removal of surplus material and disposal off site to approved location.</t>
  </si>
  <si>
    <t>Backfill with sand and/or selected excavated material as specified, compaction to Specification and satisfaction of the Engineer including all other necessary measures.</t>
  </si>
  <si>
    <t>Plain concrete (C16/20) for foundation as per drawings and technical specifications.</t>
  </si>
  <si>
    <t>Plain concrete (C16/20) for roof slopes as per drawings and specifications.</t>
  </si>
  <si>
    <t>Reinforced concrete (C25/30), 150 mm thick for floor slabs including formwork &amp; steel reinforcement all as per drawings and specifications.</t>
  </si>
  <si>
    <t>Reinforced concrete (C25/30) for foundations including formwork  &amp; steel reinforcement as per drawings and specifications.</t>
  </si>
  <si>
    <t>Reinforced concrete (C25/30) including formwork &amp; steel reinforcement for beams and slabs as per drawings and specifications.</t>
  </si>
  <si>
    <t>Supply and install torch applied bituminous membrane sheets 4 mm thick for water proofing, For floor Including 50 mm screed layer.</t>
  </si>
  <si>
    <t>Supply and install torch applied bituminous membrane sheets 4 mm thick for water proofing, For roof &amp; wet areas including 50 mm screed layer.</t>
  </si>
  <si>
    <t>Supply and apply three coats of protective coating using bituminous latex emulsion to face of concrete and walls adjacent to backfilling.</t>
  </si>
  <si>
    <t>50 mm extruded polystyrene boards for roof heat insulation with minimum density 35 kg/cm</t>
  </si>
  <si>
    <t>Supply and install concrete hollow / solid blocks for walls Internal block walls 12 cm thickness, including all accessories for work completion.</t>
  </si>
  <si>
    <t>Supply and install concrete hollow / solid blocks for walls External block walls 25 cm thickness, including all accessories for work completion.</t>
  </si>
  <si>
    <t>Supply and apply Internal plastering to walls and ceilings, base and finish coat, thickness 20 mm.</t>
  </si>
  <si>
    <t>Supply and apply external cement plastering to facades, base and finish coat, thickness 15 mm striped with 2 cm groove render for facades &amp; internal surface of parapet.</t>
  </si>
  <si>
    <t>Supply and apply 2 layers of acrylic paint over  2 coats of primer for all internal walls and ceilings to acceptance of the Engineer.</t>
  </si>
  <si>
    <t>Supply and applying 2 layers of external Acrylic paint over 2 coats of primer to the acceptance of the Engineer.</t>
  </si>
  <si>
    <t>Supply and lay ceramic floor tiles 300 x 300 x 8 mm on 80 mm sand and cement sand mortar.</t>
  </si>
  <si>
    <t>Supply and lay 6 mm thick ceramic wall tiles, with colours and dimensions according to drawings.</t>
  </si>
  <si>
    <t>Supply and lay 200 x 200 x 20 mm cement tiles for roofs including roof slopes and skirting.</t>
  </si>
  <si>
    <t>Supply and lay red granite 3 cm thick for entrance landing in accordance with the requirements of specifications and approval of Engineer.</t>
  </si>
  <si>
    <t xml:space="preserve">Supply and install aluminium doors with frames, glazing, steel bars and mosquito mesh wire:
a Door type (D3) with dimension 0.90 x 2.20 m with 6 mm glass panel. </t>
  </si>
  <si>
    <t>Supply and install aluminium windows with frames, glazing, steel bars and mosquito mesh wire:
a Window type (W1) with dimension 1.50 x 1.20 m, 6mm glass.</t>
  </si>
  <si>
    <t>Reinforced concrete (C25/30) for columns and walls including formwork &amp; steel reinforcement as per drawings and specifications.</t>
  </si>
  <si>
    <t>Supply and fix non-slip color porcelain floor tiles grade A , Spain,  size 40x40x1cm as per specifications , drawings and supervisor engineer instructions.</t>
  </si>
  <si>
    <t>Supply and install Galvanized Steel Grill for window type AW1 protection with all required works .</t>
  </si>
  <si>
    <t>Supply and install Galvanized Steel Handrail for stair landing with all required works</t>
  </si>
  <si>
    <t>Fire Alarm System</t>
  </si>
  <si>
    <t>Sockets</t>
  </si>
  <si>
    <t>Telephone and Intercom systems</t>
  </si>
  <si>
    <t>12.5</t>
  </si>
  <si>
    <t>12.6</t>
  </si>
  <si>
    <t>Sanitary Fixtures</t>
  </si>
  <si>
    <t>Water Supply</t>
  </si>
  <si>
    <t>Sanitary Installation</t>
  </si>
  <si>
    <t>11.3</t>
  </si>
  <si>
    <t>11.5</t>
  </si>
  <si>
    <t>1.1</t>
  </si>
  <si>
    <t>1.2</t>
  </si>
  <si>
    <t>2.1</t>
  </si>
  <si>
    <t>2.2</t>
  </si>
  <si>
    <t>2.3</t>
  </si>
  <si>
    <t>2.4</t>
  </si>
  <si>
    <t>2.5</t>
  </si>
  <si>
    <t>2.6</t>
  </si>
  <si>
    <t>3.1</t>
  </si>
  <si>
    <t>3.2</t>
  </si>
  <si>
    <t>3.3</t>
  </si>
  <si>
    <t>4.1</t>
  </si>
  <si>
    <t>5.1</t>
  </si>
  <si>
    <t>5.2</t>
  </si>
  <si>
    <t>5.3</t>
  </si>
  <si>
    <t>6.1</t>
  </si>
  <si>
    <t>6.2</t>
  </si>
  <si>
    <t>7.1</t>
  </si>
  <si>
    <t>7.2</t>
  </si>
  <si>
    <t>8.1</t>
  </si>
  <si>
    <t>8.2</t>
  </si>
  <si>
    <t>8.3</t>
  </si>
  <si>
    <t>8.4</t>
  </si>
  <si>
    <t>8.5</t>
  </si>
  <si>
    <t>9.1</t>
  </si>
  <si>
    <t>9.2</t>
  </si>
  <si>
    <t>13.1</t>
  </si>
  <si>
    <t>13.2</t>
  </si>
  <si>
    <t>13.3</t>
  </si>
  <si>
    <t>13.4</t>
  </si>
  <si>
    <t>Subgrade levelling and cleaning including cut &amp; fill works to reach the subgrade design levels according to design drawings and project sepcifications,</t>
  </si>
  <si>
    <t>Supply, laying and construct precast concrete kerbs (grade 25 with dimensions (15 x 30 x 50 cm) laid on concrete haunches and base using sulphate cement according to design drawings, project specifications and to the direction of the Engineer.</t>
  </si>
  <si>
    <t>Fire Fighting Works</t>
  </si>
  <si>
    <t>HVAC WORKs</t>
  </si>
  <si>
    <t xml:space="preserve">Supply and install Colored Interlocking Tiles 6 cm thick (B-450)for theside works, size and shape as directed by the engineer or his representative. </t>
  </si>
  <si>
    <t xml:space="preserve">Provide reinforced concrete pavement slabs for roads with widths and dimensions as shown in the design drawings </t>
  </si>
  <si>
    <t>m3</t>
  </si>
  <si>
    <t>m2</t>
  </si>
  <si>
    <t>Supply and fix Multi Lock door SD1 (100 x220x4cm),complete with galvanized steel frame 3mm thick, ironmongery, all requirement as latches, locks…etc. as per specifications, drawings and supervisor engineer instructions.</t>
  </si>
  <si>
    <t>m</t>
  </si>
  <si>
    <t>L.S</t>
  </si>
  <si>
    <t>Finishing Works</t>
  </si>
  <si>
    <t>Activity ID</t>
  </si>
  <si>
    <t>Original Duration</t>
  </si>
  <si>
    <t>New City</t>
  </si>
  <si>
    <t>12 Months</t>
  </si>
  <si>
    <t>Project Name</t>
  </si>
  <si>
    <t>M</t>
  </si>
  <si>
    <t>Project Code:</t>
  </si>
  <si>
    <t>Start Date:</t>
  </si>
  <si>
    <t>Project Duration:</t>
  </si>
  <si>
    <t>Finish Date:</t>
  </si>
  <si>
    <t>GR+Three Floors</t>
  </si>
  <si>
    <t>9 Buildings</t>
  </si>
  <si>
    <t>Total</t>
  </si>
  <si>
    <t>B .09</t>
  </si>
  <si>
    <t>B .01</t>
  </si>
  <si>
    <t>B .02</t>
  </si>
  <si>
    <t>B .03</t>
  </si>
  <si>
    <t>B .04</t>
  </si>
  <si>
    <t>B .05</t>
  </si>
  <si>
    <t>B .06</t>
  </si>
  <si>
    <t>B .07</t>
  </si>
  <si>
    <t>B .08</t>
  </si>
  <si>
    <t>PREP.</t>
  </si>
  <si>
    <t>EX.</t>
  </si>
  <si>
    <t>Han</t>
  </si>
  <si>
    <t>Budgeted Total Cost</t>
  </si>
  <si>
    <t>Spreadsheet Field</t>
  </si>
  <si>
    <t>New City - Follow Up</t>
  </si>
  <si>
    <t>Report No.</t>
  </si>
  <si>
    <t>Project Planned Start</t>
  </si>
  <si>
    <t>Project Planned Finish</t>
  </si>
  <si>
    <t>Project Duration</t>
  </si>
  <si>
    <t>Report Date</t>
  </si>
  <si>
    <t>Project Total Value</t>
  </si>
  <si>
    <t>No. of Variation Orders</t>
  </si>
  <si>
    <t>SPI</t>
  </si>
  <si>
    <t>Elapsed Duration</t>
  </si>
  <si>
    <t>Planned Value</t>
  </si>
  <si>
    <t>Earned Value</t>
  </si>
  <si>
    <t>Variance</t>
  </si>
  <si>
    <t>Total Value</t>
  </si>
  <si>
    <t>Invoices</t>
  </si>
  <si>
    <t>Planned %</t>
  </si>
  <si>
    <t>Actual %</t>
  </si>
  <si>
    <t>Recovery</t>
  </si>
  <si>
    <t xml:space="preserve">Planned </t>
  </si>
  <si>
    <t>Actual</t>
  </si>
  <si>
    <t>Remaining</t>
  </si>
  <si>
    <t>Total Durration</t>
  </si>
  <si>
    <t>R.02</t>
  </si>
  <si>
    <t>Activity Name</t>
  </si>
  <si>
    <t>Start</t>
  </si>
  <si>
    <t>Finish</t>
  </si>
  <si>
    <t>Remaining Total Cost</t>
  </si>
  <si>
    <t>Earned Value Cost</t>
  </si>
  <si>
    <t>01-Jan-2023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</si>
</sst>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7" formatCode="yyyy\ \-\ mm\ \-\ dd"/>
    <numFmt numFmtId="170" formatCode="mmm\-yyyy"/>
    <numFmt numFmtId="172" formatCode="0\ &quot; days &quot;"/>
    <numFmt numFmtId="173" formatCode="#,##0\ &quot; EGP &quot;"/>
    <numFmt numFmtId="174" formatCode="0.0%"/>
  </numFmts>
  <fonts count="18" x14ac:knownFonts="1">
    <font>
      <sz val="11"/>
      <color theme="1"/>
      <name val="Calibri"/>
      <family val="2"/>
      <scheme val="minor"/>
    </font>
    <font>
      <b/>
      <sz val="12"/>
      <color rgb="FF113450"/>
      <name val="Calibri"/>
      <family val="2"/>
      <scheme val="minor"/>
    </font>
    <font>
      <sz val="11"/>
      <color theme="1"/>
      <name val="Calibri"/>
      <family val="2"/>
      <scheme val="minor"/>
    </font>
    <font>
      <b/>
      <sz val="12"/>
      <color rgb="FFFFFF00"/>
      <name val="Calibri"/>
      <family val="2"/>
      <scheme val="minor"/>
    </font>
    <font>
      <sz val="8"/>
      <name val="Calibri"/>
      <family val="2"/>
      <scheme val="minor"/>
    </font>
    <font>
      <b/>
      <sz val="12"/>
      <color theme="1"/>
      <name val="Calibri"/>
      <family val="2"/>
      <scheme val="minor"/>
    </font>
    <font>
      <b/>
      <sz val="12"/>
      <color rgb="FFC00000"/>
      <name val="Calibri"/>
      <family val="2"/>
      <scheme val="minor"/>
    </font>
    <font>
      <b/>
      <sz val="14"/>
      <name val="Calibri"/>
      <family val="2"/>
      <scheme val="minor"/>
    </font>
    <font>
      <sz val="11"/>
      <color theme="0"/>
      <name val="Calibri"/>
      <family val="2"/>
      <scheme val="minor"/>
    </font>
    <font>
      <b/>
      <sz val="16"/>
      <color theme="0"/>
      <name val="Calibri"/>
      <family val="2"/>
      <scheme val="minor"/>
    </font>
    <font>
      <b/>
      <sz val="18"/>
      <color theme="0"/>
      <name val="Calibri"/>
      <family val="2"/>
      <scheme val="minor"/>
    </font>
    <font>
      <b/>
      <sz val="16"/>
      <color theme="1"/>
      <name val="Calibri"/>
      <family val="2"/>
      <scheme val="minor"/>
    </font>
    <font>
      <b/>
      <sz val="22"/>
      <color theme="1"/>
      <name val="Calibri"/>
      <family val="2"/>
      <scheme val="minor"/>
    </font>
    <font>
      <b/>
      <sz val="18"/>
      <color theme="1"/>
      <name val="Calibri"/>
      <family val="2"/>
      <scheme val="minor"/>
    </font>
    <font>
      <b/>
      <sz val="18"/>
      <color rgb="FFFF0000"/>
      <name val="Calibri"/>
      <family val="2"/>
      <scheme val="minor"/>
    </font>
    <font>
      <b/>
      <sz val="18"/>
      <color rgb="FFC00000"/>
      <name val="Calibri"/>
      <family val="2"/>
      <scheme val="minor"/>
    </font>
    <font>
      <b/>
      <sz val="20"/>
      <color theme="1"/>
      <name val="Calibri"/>
      <family val="2"/>
      <scheme val="minor"/>
    </font>
    <font>
      <b/>
      <sz val="22"/>
      <color theme="7" tint="-0.499984740745262"/>
      <name val="Calibri"/>
      <family val="2"/>
      <scheme val="minor"/>
    </font>
  </fonts>
  <fills count="11">
    <fill>
      <patternFill patternType="none"/>
    </fill>
    <fill>
      <patternFill patternType="gray125"/>
    </fill>
    <fill>
      <patternFill patternType="solid">
        <fgColor rgb="FF113450"/>
        <bgColor indexed="64"/>
      </patternFill>
    </fill>
    <fill>
      <patternFill patternType="solid">
        <fgColor rgb="FFE7EAED"/>
        <bgColor indexed="64"/>
      </patternFill>
    </fill>
    <fill>
      <patternFill patternType="solid">
        <fgColor theme="0"/>
        <bgColor indexed="64"/>
      </patternFill>
    </fill>
    <fill>
      <patternFill patternType="solid">
        <fgColor rgb="FF9FADB9"/>
        <bgColor indexed="64"/>
      </patternFill>
    </fill>
    <fill>
      <patternFill patternType="solid">
        <fgColor rgb="FF00206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2"/>
        <bgColor indexed="64"/>
      </patternFill>
    </fill>
    <fill>
      <patternFill patternType="solid">
        <fgColor theme="4" tint="-0.499984740745262"/>
        <bgColor indexed="64"/>
      </patternFill>
    </fill>
  </fills>
  <borders count="50">
    <border>
      <left/>
      <right/>
      <top/>
      <bottom/>
      <diagonal/>
    </border>
    <border>
      <left style="medium">
        <color theme="0" tint="-0.499984740745262"/>
      </left>
      <right style="thin">
        <color rgb="FF9FADB9"/>
      </right>
      <top style="thin">
        <color rgb="FF9FADB9"/>
      </top>
      <bottom style="thin">
        <color rgb="FF9FADB9"/>
      </bottom>
      <diagonal/>
    </border>
    <border>
      <left style="thin">
        <color rgb="FF9FADB9"/>
      </left>
      <right style="thin">
        <color rgb="FF9FADB9"/>
      </right>
      <top style="thin">
        <color rgb="FF9FADB9"/>
      </top>
      <bottom style="thin">
        <color rgb="FF9FADB9"/>
      </bottom>
      <diagonal/>
    </border>
    <border>
      <left style="medium">
        <color rgb="FF9FADB9"/>
      </left>
      <right/>
      <top/>
      <bottom/>
      <diagonal/>
    </border>
    <border>
      <left style="medium">
        <color theme="0" tint="-0.499984740745262"/>
      </left>
      <right style="medium">
        <color rgb="FF9FADB9"/>
      </right>
      <top style="medium">
        <color theme="0" tint="-0.499984740745262"/>
      </top>
      <bottom style="medium">
        <color theme="0" tint="-0.499984740745262"/>
      </bottom>
      <diagonal/>
    </border>
    <border>
      <left style="medium">
        <color rgb="FF9FADB9"/>
      </left>
      <right style="medium">
        <color rgb="FF9FADB9"/>
      </right>
      <top style="medium">
        <color theme="0" tint="-0.499984740745262"/>
      </top>
      <bottom style="medium">
        <color theme="0" tint="-0.499984740745262"/>
      </bottom>
      <diagonal/>
    </border>
    <border>
      <left style="medium">
        <color rgb="FF9FADB9"/>
      </left>
      <right/>
      <top style="medium">
        <color theme="0" tint="-0.499984740745262"/>
      </top>
      <bottom style="medium">
        <color theme="0" tint="-0.499984740745262"/>
      </bottom>
      <diagonal/>
    </border>
    <border>
      <left style="thin">
        <color theme="0" tint="-0.499984740745262"/>
      </left>
      <right style="medium">
        <color theme="0" tint="-0.499984740745262"/>
      </right>
      <top style="medium">
        <color theme="0" tint="-0.499984740745262"/>
      </top>
      <bottom style="medium">
        <color theme="0" tint="-0.499984740745262"/>
      </bottom>
      <diagonal/>
    </border>
    <border>
      <left style="medium">
        <color theme="0" tint="-0.499984740745262"/>
      </left>
      <right/>
      <top/>
      <bottom/>
      <diagonal/>
    </border>
    <border>
      <left style="thin">
        <color rgb="FF9FADB9"/>
      </left>
      <right style="medium">
        <color theme="0" tint="-0.499984740745262"/>
      </right>
      <top style="thin">
        <color rgb="FF9FADB9"/>
      </top>
      <bottom style="thin">
        <color rgb="FF9FADB9"/>
      </bottom>
      <diagonal/>
    </border>
    <border>
      <left style="medium">
        <color theme="0" tint="-0.499984740745262"/>
      </left>
      <right style="thin">
        <color rgb="FF9FADB9"/>
      </right>
      <top style="thin">
        <color rgb="FF9FADB9"/>
      </top>
      <bottom style="medium">
        <color theme="0" tint="-0.499984740745262"/>
      </bottom>
      <diagonal/>
    </border>
    <border>
      <left style="thin">
        <color rgb="FF9FADB9"/>
      </left>
      <right style="thin">
        <color rgb="FF9FADB9"/>
      </right>
      <top style="thin">
        <color rgb="FF9FADB9"/>
      </top>
      <bottom style="medium">
        <color theme="0" tint="-0.499984740745262"/>
      </bottom>
      <diagonal/>
    </border>
    <border>
      <left style="thin">
        <color rgb="FF9FADB9"/>
      </left>
      <right style="medium">
        <color theme="0" tint="-0.499984740745262"/>
      </right>
      <top style="thin">
        <color rgb="FF9FADB9"/>
      </top>
      <bottom style="medium">
        <color theme="0" tint="-0.499984740745262"/>
      </bottom>
      <diagonal/>
    </border>
    <border>
      <left style="medium">
        <color theme="0" tint="-0.499984740745262"/>
      </left>
      <right style="thin">
        <color rgb="FF9FADB9"/>
      </right>
      <top/>
      <bottom style="thin">
        <color rgb="FF9FADB9"/>
      </bottom>
      <diagonal/>
    </border>
    <border>
      <left style="thin">
        <color rgb="FF9FADB9"/>
      </left>
      <right style="thin">
        <color rgb="FF9FADB9"/>
      </right>
      <top/>
      <bottom style="thin">
        <color rgb="FF9FADB9"/>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thin">
        <color rgb="FF9FADB9"/>
      </left>
      <right/>
      <top/>
      <bottom style="thin">
        <color rgb="FF9FADB9"/>
      </bottom>
      <diagonal/>
    </border>
    <border>
      <left style="thin">
        <color rgb="FF9FADB9"/>
      </left>
      <right/>
      <top style="thin">
        <color rgb="FF9FADB9"/>
      </top>
      <bottom style="thin">
        <color rgb="FF9FADB9"/>
      </bottom>
      <diagonal/>
    </border>
    <border>
      <left style="medium">
        <color theme="0" tint="-0.499984740745262"/>
      </left>
      <right style="thin">
        <color rgb="FF9FADB9"/>
      </right>
      <top style="medium">
        <color theme="0" tint="-0.499984740745262"/>
      </top>
      <bottom style="thin">
        <color rgb="FF9FADB9"/>
      </bottom>
      <diagonal/>
    </border>
    <border>
      <left style="thin">
        <color rgb="FF9FADB9"/>
      </left>
      <right style="thin">
        <color rgb="FF9FADB9"/>
      </right>
      <top style="medium">
        <color theme="0" tint="-0.499984740745262"/>
      </top>
      <bottom style="thin">
        <color rgb="FF9FADB9"/>
      </bottom>
      <diagonal/>
    </border>
    <border>
      <left style="thin">
        <color rgb="FF9FADB9"/>
      </left>
      <right style="medium">
        <color theme="0" tint="-0.499984740745262"/>
      </right>
      <top style="medium">
        <color theme="0" tint="-0.499984740745262"/>
      </top>
      <bottom style="thin">
        <color rgb="FF9FADB9"/>
      </bottom>
      <diagonal/>
    </border>
    <border>
      <left style="medium">
        <color theme="0" tint="-0.499984740745262"/>
      </left>
      <right style="thin">
        <color rgb="FF9FADB9"/>
      </right>
      <top style="medium">
        <color theme="0" tint="-0.499984740745262"/>
      </top>
      <bottom style="medium">
        <color theme="0" tint="-0.499984740745262"/>
      </bottom>
      <diagonal/>
    </border>
    <border>
      <left style="thin">
        <color rgb="FF9FADB9"/>
      </left>
      <right style="thin">
        <color rgb="FF9FADB9"/>
      </right>
      <top style="medium">
        <color theme="0" tint="-0.499984740745262"/>
      </top>
      <bottom style="medium">
        <color theme="0" tint="-0.499984740745262"/>
      </bottom>
      <diagonal/>
    </border>
    <border>
      <left style="thin">
        <color rgb="FF9FADB9"/>
      </left>
      <right style="medium">
        <color theme="0" tint="-0.499984740745262"/>
      </right>
      <top style="medium">
        <color theme="0" tint="-0.499984740745262"/>
      </top>
      <bottom style="medium">
        <color theme="0" tint="-0.499984740745262"/>
      </bottom>
      <diagonal/>
    </border>
    <border>
      <left style="thin">
        <color rgb="FF9FADB9"/>
      </left>
      <right/>
      <top style="thin">
        <color rgb="FF9FADB9"/>
      </top>
      <bottom style="medium">
        <color theme="0" tint="-0.499984740745262"/>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rgb="FF9FADB9"/>
      </left>
      <right style="medium">
        <color theme="0" tint="-0.499984740745262"/>
      </right>
      <top style="thin">
        <color rgb="FF9FADB9"/>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s>
  <cellStyleXfs count="2">
    <xf numFmtId="0" fontId="0" fillId="0" borderId="0"/>
    <xf numFmtId="9" fontId="2" fillId="0" borderId="0" applyFont="0" applyFill="0" applyBorder="0" applyAlignment="0" applyProtection="0"/>
  </cellStyleXfs>
  <cellXfs count="139">
    <xf numFmtId="0" fontId="0" fillId="0" borderId="0" xfId="0"/>
    <xf numFmtId="0" fontId="0" fillId="0" borderId="0" xfId="0" applyAlignment="1">
      <alignment horizontal="center" vertical="center"/>
    </xf>
    <xf numFmtId="49" fontId="1" fillId="3" borderId="1" xfId="0" applyNumberFormat="1" applyFont="1" applyFill="1" applyBorder="1" applyAlignment="1">
      <alignment horizontal="center" vertical="center" readingOrder="2"/>
    </xf>
    <xf numFmtId="49" fontId="1" fillId="4" borderId="1" xfId="0" applyNumberFormat="1" applyFont="1" applyFill="1" applyBorder="1" applyAlignment="1">
      <alignment horizontal="center" vertical="center" readingOrder="2"/>
    </xf>
    <xf numFmtId="0" fontId="1" fillId="3" borderId="2" xfId="0" applyFont="1" applyFill="1" applyBorder="1" applyAlignment="1">
      <alignment horizontal="left" vertical="top" wrapText="1" readingOrder="1"/>
    </xf>
    <xf numFmtId="0" fontId="1" fillId="4" borderId="2" xfId="0" applyFont="1" applyFill="1" applyBorder="1" applyAlignment="1">
      <alignment horizontal="left" vertical="top" wrapText="1" readingOrder="1"/>
    </xf>
    <xf numFmtId="0" fontId="1" fillId="5" borderId="3" xfId="0" applyFont="1" applyFill="1" applyBorder="1" applyAlignment="1">
      <alignment horizontal="left" vertical="top" readingOrder="1"/>
    </xf>
    <xf numFmtId="0" fontId="1" fillId="3" borderId="2" xfId="0" applyFont="1" applyFill="1" applyBorder="1" applyAlignment="1">
      <alignment horizontal="left" vertical="top" readingOrder="1"/>
    </xf>
    <xf numFmtId="0" fontId="1" fillId="4" borderId="2" xfId="0" applyFont="1" applyFill="1" applyBorder="1" applyAlignment="1">
      <alignment horizontal="left" vertical="top" readingOrder="1"/>
    </xf>
    <xf numFmtId="0" fontId="0" fillId="0" borderId="0" xfId="0" applyAlignment="1">
      <alignment horizontal="left" vertical="top" readingOrder="1"/>
    </xf>
    <xf numFmtId="0" fontId="0" fillId="0" borderId="0" xfId="0" applyAlignment="1">
      <alignment horizontal="left" vertical="center"/>
    </xf>
    <xf numFmtId="49" fontId="1" fillId="4" borderId="8" xfId="0" applyNumberFormat="1" applyFont="1" applyFill="1" applyBorder="1" applyAlignment="1">
      <alignment horizontal="center" vertical="center" readingOrder="2"/>
    </xf>
    <xf numFmtId="49" fontId="1" fillId="3" borderId="13" xfId="0" applyNumberFormat="1" applyFont="1" applyFill="1" applyBorder="1" applyAlignment="1">
      <alignment horizontal="center" vertical="center" readingOrder="2"/>
    </xf>
    <xf numFmtId="0" fontId="1" fillId="3" borderId="14" xfId="0" applyFont="1" applyFill="1" applyBorder="1" applyAlignment="1">
      <alignment horizontal="left" vertical="top" wrapText="1" readingOrder="1"/>
    </xf>
    <xf numFmtId="49" fontId="1" fillId="5" borderId="15" xfId="0" applyNumberFormat="1" applyFont="1" applyFill="1" applyBorder="1" applyAlignment="1">
      <alignment vertical="center"/>
    </xf>
    <xf numFmtId="0" fontId="1" fillId="5" borderId="16" xfId="0" applyFont="1" applyFill="1" applyBorder="1" applyAlignment="1">
      <alignment horizontal="left" vertical="top" readingOrder="1"/>
    </xf>
    <xf numFmtId="0" fontId="0" fillId="0" borderId="0" xfId="0" applyAlignment="1">
      <alignment horizontal="center" vertical="center" readingOrder="1"/>
    </xf>
    <xf numFmtId="0" fontId="1" fillId="5" borderId="16" xfId="0" applyFont="1" applyFill="1" applyBorder="1" applyAlignment="1">
      <alignment vertical="center" readingOrder="1"/>
    </xf>
    <xf numFmtId="49" fontId="1" fillId="4" borderId="10" xfId="0" applyNumberFormat="1" applyFont="1" applyFill="1" applyBorder="1" applyAlignment="1">
      <alignment horizontal="center" vertical="center" readingOrder="2"/>
    </xf>
    <xf numFmtId="0" fontId="1" fillId="4" borderId="11" xfId="0" applyFont="1" applyFill="1" applyBorder="1" applyAlignment="1">
      <alignment horizontal="left" vertical="top" wrapText="1" readingOrder="1"/>
    </xf>
    <xf numFmtId="3" fontId="1" fillId="5" borderId="16" xfId="0" applyNumberFormat="1" applyFont="1" applyFill="1" applyBorder="1" applyAlignment="1">
      <alignment vertical="center"/>
    </xf>
    <xf numFmtId="3" fontId="1" fillId="5" borderId="17" xfId="0" applyNumberFormat="1" applyFont="1" applyFill="1" applyBorder="1" applyAlignment="1">
      <alignment vertical="center"/>
    </xf>
    <xf numFmtId="3" fontId="1" fillId="4" borderId="2" xfId="0" applyNumberFormat="1" applyFont="1" applyFill="1" applyBorder="1" applyAlignment="1">
      <alignment horizontal="center" vertical="center" readingOrder="2"/>
    </xf>
    <xf numFmtId="3" fontId="1" fillId="4" borderId="9" xfId="0" applyNumberFormat="1" applyFont="1" applyFill="1" applyBorder="1" applyAlignment="1">
      <alignment horizontal="center" vertical="center" readingOrder="2"/>
    </xf>
    <xf numFmtId="3" fontId="1" fillId="3" borderId="2" xfId="0" applyNumberFormat="1" applyFont="1" applyFill="1" applyBorder="1" applyAlignment="1">
      <alignment horizontal="center" vertical="center" readingOrder="2"/>
    </xf>
    <xf numFmtId="3" fontId="1" fillId="3" borderId="9" xfId="0" applyNumberFormat="1" applyFont="1" applyFill="1" applyBorder="1" applyAlignment="1">
      <alignment horizontal="center" vertical="center" readingOrder="2"/>
    </xf>
    <xf numFmtId="3" fontId="1" fillId="4" borderId="11" xfId="0" applyNumberFormat="1" applyFont="1" applyFill="1" applyBorder="1" applyAlignment="1">
      <alignment horizontal="center" vertical="center" readingOrder="2"/>
    </xf>
    <xf numFmtId="3" fontId="1" fillId="4" borderId="12" xfId="0" applyNumberFormat="1" applyFont="1" applyFill="1" applyBorder="1" applyAlignment="1">
      <alignment horizontal="center" vertical="center" readingOrder="2"/>
    </xf>
    <xf numFmtId="0" fontId="1" fillId="3" borderId="18" xfId="0" applyFont="1" applyFill="1" applyBorder="1" applyAlignment="1">
      <alignment horizontal="center" vertical="center" readingOrder="1"/>
    </xf>
    <xf numFmtId="0" fontId="1" fillId="4" borderId="19" xfId="0" applyFont="1" applyFill="1" applyBorder="1" applyAlignment="1">
      <alignment horizontal="center" vertical="center" readingOrder="1"/>
    </xf>
    <xf numFmtId="3" fontId="1" fillId="3" borderId="20" xfId="0" applyNumberFormat="1" applyFont="1" applyFill="1" applyBorder="1" applyAlignment="1">
      <alignment horizontal="center" vertical="center" readingOrder="2"/>
    </xf>
    <xf numFmtId="3" fontId="1" fillId="3" borderId="21" xfId="0" applyNumberFormat="1" applyFont="1" applyFill="1" applyBorder="1" applyAlignment="1">
      <alignment horizontal="center" vertical="center" readingOrder="2"/>
    </xf>
    <xf numFmtId="3" fontId="1" fillId="3" borderId="22" xfId="0" applyNumberFormat="1" applyFont="1" applyFill="1" applyBorder="1" applyAlignment="1">
      <alignment horizontal="center" vertical="center" readingOrder="2"/>
    </xf>
    <xf numFmtId="3" fontId="1" fillId="4" borderId="10" xfId="0" applyNumberFormat="1" applyFont="1" applyFill="1" applyBorder="1" applyAlignment="1">
      <alignment horizontal="center" vertical="center" readingOrder="2"/>
    </xf>
    <xf numFmtId="0" fontId="1" fillId="3" borderId="19" xfId="0" applyFont="1" applyFill="1" applyBorder="1" applyAlignment="1">
      <alignment horizontal="center" vertical="center" readingOrder="1"/>
    </xf>
    <xf numFmtId="3" fontId="1" fillId="4" borderId="20" xfId="0" applyNumberFormat="1" applyFont="1" applyFill="1" applyBorder="1" applyAlignment="1">
      <alignment horizontal="center" vertical="center" readingOrder="2"/>
    </xf>
    <xf numFmtId="3" fontId="1" fillId="4" borderId="21" xfId="0" applyNumberFormat="1" applyFont="1" applyFill="1" applyBorder="1" applyAlignment="1">
      <alignment horizontal="center" vertical="center" readingOrder="2"/>
    </xf>
    <xf numFmtId="3" fontId="1" fillId="4" borderId="22" xfId="0" applyNumberFormat="1" applyFont="1" applyFill="1" applyBorder="1" applyAlignment="1">
      <alignment horizontal="center" vertical="center" readingOrder="2"/>
    </xf>
    <xf numFmtId="3" fontId="1" fillId="3" borderId="1" xfId="0" applyNumberFormat="1" applyFont="1" applyFill="1" applyBorder="1" applyAlignment="1">
      <alignment horizontal="center" vertical="center" readingOrder="2"/>
    </xf>
    <xf numFmtId="3" fontId="1" fillId="4" borderId="1" xfId="0" applyNumberFormat="1" applyFont="1" applyFill="1" applyBorder="1" applyAlignment="1">
      <alignment horizontal="center" vertical="center" readingOrder="2"/>
    </xf>
    <xf numFmtId="3" fontId="1" fillId="3" borderId="10" xfId="0" applyNumberFormat="1" applyFont="1" applyFill="1" applyBorder="1" applyAlignment="1">
      <alignment horizontal="center" vertical="center" readingOrder="2"/>
    </xf>
    <xf numFmtId="3" fontId="1" fillId="3" borderId="11" xfId="0" applyNumberFormat="1" applyFont="1" applyFill="1" applyBorder="1" applyAlignment="1">
      <alignment horizontal="center" vertical="center" readingOrder="2"/>
    </xf>
    <xf numFmtId="3" fontId="1" fillId="3" borderId="12" xfId="0" applyNumberFormat="1" applyFont="1" applyFill="1" applyBorder="1" applyAlignment="1">
      <alignment horizontal="center" vertical="center" readingOrder="2"/>
    </xf>
    <xf numFmtId="3" fontId="1" fillId="3" borderId="23" xfId="0" applyNumberFormat="1" applyFont="1" applyFill="1" applyBorder="1" applyAlignment="1">
      <alignment horizontal="center" vertical="center" readingOrder="2"/>
    </xf>
    <xf numFmtId="3" fontId="1" fillId="3" borderId="24" xfId="0" applyNumberFormat="1" applyFont="1" applyFill="1" applyBorder="1" applyAlignment="1">
      <alignment horizontal="center" vertical="center" readingOrder="2"/>
    </xf>
    <xf numFmtId="3" fontId="1" fillId="3" borderId="25" xfId="0" applyNumberFormat="1" applyFont="1" applyFill="1" applyBorder="1" applyAlignment="1">
      <alignment horizontal="center" vertical="center" readingOrder="2"/>
    </xf>
    <xf numFmtId="0" fontId="1" fillId="4" borderId="26" xfId="0" applyFont="1" applyFill="1" applyBorder="1" applyAlignment="1">
      <alignment horizontal="center" vertical="center" readingOrder="1"/>
    </xf>
    <xf numFmtId="49" fontId="3" fillId="2" borderId="4" xfId="0" applyNumberFormat="1" applyFont="1" applyFill="1" applyBorder="1" applyAlignment="1">
      <alignment horizontal="center" vertical="center"/>
    </xf>
    <xf numFmtId="0" fontId="3" fillId="2" borderId="5" xfId="0" applyFont="1" applyFill="1" applyBorder="1" applyAlignment="1">
      <alignment horizontal="center" vertical="center" readingOrder="1"/>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3" fontId="0" fillId="0" borderId="0" xfId="0" applyNumberFormat="1" applyAlignment="1">
      <alignment horizontal="center" vertical="center"/>
    </xf>
    <xf numFmtId="0" fontId="5" fillId="0" borderId="0" xfId="0" applyFont="1" applyAlignment="1">
      <alignment horizontal="center"/>
    </xf>
    <xf numFmtId="0" fontId="3" fillId="6" borderId="0" xfId="0" applyFont="1" applyFill="1" applyAlignment="1">
      <alignment horizontal="center" vertical="center"/>
    </xf>
    <xf numFmtId="0" fontId="5" fillId="0" borderId="0" xfId="0" applyFont="1" applyAlignment="1">
      <alignment horizontal="left" vertical="center"/>
    </xf>
    <xf numFmtId="0" fontId="5" fillId="7" borderId="32" xfId="0" applyFont="1" applyFill="1" applyBorder="1" applyAlignment="1">
      <alignment vertical="center"/>
    </xf>
    <xf numFmtId="0" fontId="5" fillId="4" borderId="34" xfId="0" applyFont="1" applyFill="1" applyBorder="1" applyAlignment="1">
      <alignment vertical="center"/>
    </xf>
    <xf numFmtId="0" fontId="5" fillId="7" borderId="34" xfId="0" applyFont="1" applyFill="1" applyBorder="1" applyAlignment="1">
      <alignment vertical="center"/>
    </xf>
    <xf numFmtId="0" fontId="5" fillId="0" borderId="36" xfId="0" applyFont="1" applyBorder="1"/>
    <xf numFmtId="0" fontId="5" fillId="0" borderId="0" xfId="0" applyFont="1" applyAlignment="1">
      <alignment vertical="center"/>
    </xf>
    <xf numFmtId="0" fontId="5" fillId="7" borderId="35" xfId="0" applyFont="1" applyFill="1" applyBorder="1" applyAlignment="1">
      <alignment horizontal="center" readingOrder="1"/>
    </xf>
    <xf numFmtId="0" fontId="3" fillId="6" borderId="0" xfId="0" applyFont="1" applyFill="1" applyAlignment="1">
      <alignment horizontal="center" readingOrder="2"/>
    </xf>
    <xf numFmtId="0" fontId="5" fillId="7" borderId="33" xfId="0" applyFont="1" applyFill="1" applyBorder="1" applyAlignment="1">
      <alignment horizontal="center" readingOrder="2"/>
    </xf>
    <xf numFmtId="167" fontId="5" fillId="4" borderId="35" xfId="0" applyNumberFormat="1" applyFont="1" applyFill="1" applyBorder="1" applyAlignment="1">
      <alignment horizontal="center" vertical="center" readingOrder="2"/>
    </xf>
    <xf numFmtId="167" fontId="5" fillId="4" borderId="37" xfId="0" applyNumberFormat="1" applyFont="1" applyFill="1" applyBorder="1" applyAlignment="1">
      <alignment horizontal="center" vertical="center" readingOrder="2"/>
    </xf>
    <xf numFmtId="9" fontId="5" fillId="0" borderId="0" xfId="1" applyFont="1" applyAlignment="1">
      <alignment horizontal="center" vertical="center" readingOrder="2"/>
    </xf>
    <xf numFmtId="0" fontId="5" fillId="0" borderId="0" xfId="0" applyFont="1" applyAlignment="1">
      <alignment horizontal="center" readingOrder="2"/>
    </xf>
    <xf numFmtId="0" fontId="5" fillId="7" borderId="38" xfId="0" applyFont="1" applyFill="1" applyBorder="1" applyAlignment="1">
      <alignment vertical="center"/>
    </xf>
    <xf numFmtId="0" fontId="5" fillId="7" borderId="27" xfId="0" applyFont="1" applyFill="1" applyBorder="1" applyAlignment="1">
      <alignment horizontal="center" readingOrder="2"/>
    </xf>
    <xf numFmtId="3" fontId="1" fillId="4" borderId="40" xfId="0" applyNumberFormat="1" applyFont="1" applyFill="1" applyBorder="1" applyAlignment="1">
      <alignment horizontal="center" vertical="center" readingOrder="2"/>
    </xf>
    <xf numFmtId="3" fontId="6" fillId="8" borderId="39" xfId="0" applyNumberFormat="1" applyFont="1" applyFill="1" applyBorder="1" applyAlignment="1">
      <alignment horizontal="center" vertical="center" readingOrder="2"/>
    </xf>
    <xf numFmtId="49" fontId="1" fillId="5" borderId="42" xfId="0" applyNumberFormat="1" applyFont="1" applyFill="1" applyBorder="1" applyAlignment="1">
      <alignment vertical="center"/>
    </xf>
    <xf numFmtId="0" fontId="1" fillId="5" borderId="43" xfId="0" applyFont="1" applyFill="1" applyBorder="1" applyAlignment="1">
      <alignment horizontal="left" vertical="top" readingOrder="1"/>
    </xf>
    <xf numFmtId="49" fontId="1" fillId="5" borderId="31" xfId="0" applyNumberFormat="1" applyFont="1" applyFill="1" applyBorder="1" applyAlignment="1">
      <alignment vertical="center"/>
    </xf>
    <xf numFmtId="0" fontId="1" fillId="5" borderId="0" xfId="0" applyFont="1" applyFill="1" applyAlignment="1">
      <alignment horizontal="left" vertical="top" readingOrder="1"/>
    </xf>
    <xf numFmtId="3" fontId="0" fillId="9" borderId="44" xfId="0" applyNumberFormat="1" applyFill="1" applyBorder="1" applyAlignment="1">
      <alignment horizontal="center" vertical="center" readingOrder="1"/>
    </xf>
    <xf numFmtId="3" fontId="0" fillId="9" borderId="45" xfId="0" applyNumberFormat="1" applyFill="1" applyBorder="1" applyAlignment="1">
      <alignment horizontal="center" vertical="center" readingOrder="1"/>
    </xf>
    <xf numFmtId="0" fontId="7" fillId="9" borderId="28" xfId="0" applyFont="1" applyFill="1" applyBorder="1" applyAlignment="1">
      <alignment horizontal="center" vertical="center"/>
    </xf>
    <xf numFmtId="0" fontId="7" fillId="9" borderId="29" xfId="0" applyFont="1" applyFill="1" applyBorder="1" applyAlignment="1">
      <alignment horizontal="center" vertical="center" readingOrder="1"/>
    </xf>
    <xf numFmtId="3" fontId="6" fillId="8" borderId="41" xfId="0" applyNumberFormat="1" applyFont="1" applyFill="1" applyBorder="1" applyAlignment="1">
      <alignment horizontal="center" vertical="center" readingOrder="2"/>
    </xf>
    <xf numFmtId="3" fontId="0" fillId="0" borderId="0" xfId="0" applyNumberFormat="1" applyAlignment="1">
      <alignment horizontal="left" vertical="center"/>
    </xf>
    <xf numFmtId="0" fontId="0" fillId="4" borderId="0" xfId="0" applyFill="1" applyAlignment="1">
      <alignment horizontal="center" vertical="center"/>
    </xf>
    <xf numFmtId="0" fontId="0" fillId="4" borderId="0" xfId="0" applyFill="1" applyAlignment="1">
      <alignment horizontal="left" vertical="top" readingOrder="1"/>
    </xf>
    <xf numFmtId="0" fontId="0" fillId="4" borderId="0" xfId="0" applyFill="1" applyAlignment="1">
      <alignment horizontal="center" vertical="center" readingOrder="1"/>
    </xf>
    <xf numFmtId="2" fontId="5" fillId="0" borderId="0" xfId="0" applyNumberFormat="1" applyFont="1" applyAlignment="1">
      <alignment vertical="center"/>
    </xf>
    <xf numFmtId="2" fontId="5" fillId="0" borderId="0" xfId="1" applyNumberFormat="1" applyFont="1" applyAlignment="1">
      <alignment horizontal="center" vertical="center" readingOrder="2"/>
    </xf>
    <xf numFmtId="10" fontId="5" fillId="0" borderId="0" xfId="0" applyNumberFormat="1" applyFont="1" applyAlignment="1">
      <alignment horizontal="center"/>
    </xf>
    <xf numFmtId="10" fontId="5" fillId="0" borderId="0" xfId="1" applyNumberFormat="1" applyFont="1" applyAlignment="1">
      <alignment horizontal="center"/>
    </xf>
    <xf numFmtId="10" fontId="5" fillId="0" borderId="0" xfId="0" applyNumberFormat="1" applyFont="1" applyAlignment="1">
      <alignment horizontal="center" readingOrder="2"/>
    </xf>
    <xf numFmtId="9" fontId="5" fillId="0" borderId="0" xfId="0" applyNumberFormat="1" applyFont="1" applyAlignment="1">
      <alignment horizontal="center" readingOrder="2"/>
    </xf>
    <xf numFmtId="0" fontId="8" fillId="10" borderId="32" xfId="0" applyFont="1" applyFill="1" applyBorder="1" applyAlignment="1">
      <alignment horizontal="center" vertical="center"/>
    </xf>
    <xf numFmtId="170" fontId="8" fillId="10" borderId="46" xfId="0" applyNumberFormat="1" applyFont="1" applyFill="1" applyBorder="1" applyAlignment="1">
      <alignment horizontal="center" vertical="center"/>
    </xf>
    <xf numFmtId="170" fontId="8" fillId="10" borderId="33" xfId="0" applyNumberFormat="1" applyFont="1" applyFill="1" applyBorder="1" applyAlignment="1">
      <alignment horizontal="center" vertical="center"/>
    </xf>
    <xf numFmtId="0" fontId="8" fillId="10" borderId="34" xfId="0" applyFont="1" applyFill="1" applyBorder="1" applyAlignment="1">
      <alignment horizontal="center" vertical="center"/>
    </xf>
    <xf numFmtId="3" fontId="0" fillId="0" borderId="39" xfId="0" applyNumberFormat="1" applyBorder="1" applyAlignment="1">
      <alignment horizontal="center" vertical="center"/>
    </xf>
    <xf numFmtId="3" fontId="0" fillId="0" borderId="35" xfId="0" applyNumberFormat="1" applyBorder="1" applyAlignment="1">
      <alignment horizontal="center" vertical="center"/>
    </xf>
    <xf numFmtId="0" fontId="8" fillId="10" borderId="36" xfId="0" applyFont="1" applyFill="1" applyBorder="1" applyAlignment="1">
      <alignment horizontal="center" vertical="center"/>
    </xf>
    <xf numFmtId="10" fontId="0" fillId="0" borderId="47" xfId="1" applyNumberFormat="1" applyFont="1" applyBorder="1" applyAlignment="1">
      <alignment horizontal="center" vertical="center"/>
    </xf>
    <xf numFmtId="10" fontId="0" fillId="0" borderId="37" xfId="1" applyNumberFormat="1" applyFont="1" applyBorder="1" applyAlignment="1">
      <alignment horizontal="center" vertical="center"/>
    </xf>
    <xf numFmtId="170" fontId="8" fillId="10" borderId="48" xfId="0" applyNumberFormat="1" applyFont="1" applyFill="1" applyBorder="1" applyAlignment="1">
      <alignment horizontal="center" vertical="center"/>
    </xf>
    <xf numFmtId="170" fontId="8" fillId="10" borderId="49" xfId="0" applyNumberFormat="1" applyFont="1" applyFill="1" applyBorder="1" applyAlignment="1">
      <alignment horizontal="center" vertical="center"/>
    </xf>
    <xf numFmtId="10" fontId="0" fillId="0" borderId="0" xfId="1" applyNumberFormat="1" applyFont="1" applyAlignment="1">
      <alignment horizontal="center" vertical="center"/>
    </xf>
    <xf numFmtId="10" fontId="0" fillId="0" borderId="0" xfId="0" applyNumberFormat="1" applyAlignment="1">
      <alignment horizontal="center" vertical="center"/>
    </xf>
    <xf numFmtId="0" fontId="11" fillId="0" borderId="0" xfId="0" applyFont="1" applyAlignment="1">
      <alignment horizontal="center" vertical="center"/>
    </xf>
    <xf numFmtId="0" fontId="11" fillId="4" borderId="0" xfId="0" applyFont="1" applyFill="1" applyAlignment="1">
      <alignment horizontal="center" vertical="center"/>
    </xf>
    <xf numFmtId="173" fontId="11" fillId="0" borderId="0" xfId="0" applyNumberFormat="1" applyFont="1" applyAlignment="1">
      <alignment horizontal="center" vertical="center"/>
    </xf>
    <xf numFmtId="9" fontId="11" fillId="0" borderId="0" xfId="0" applyNumberFormat="1" applyFont="1" applyAlignment="1">
      <alignment horizontal="center" vertical="center"/>
    </xf>
    <xf numFmtId="172" fontId="11" fillId="0" borderId="0" xfId="0" applyNumberFormat="1" applyFont="1" applyAlignment="1">
      <alignment horizontal="center" vertical="center"/>
    </xf>
    <xf numFmtId="0" fontId="11" fillId="0" borderId="0" xfId="0" applyFont="1" applyAlignment="1">
      <alignment horizontal="left" vertical="center"/>
    </xf>
    <xf numFmtId="0" fontId="13" fillId="4" borderId="0" xfId="0" applyFont="1" applyFill="1" applyAlignment="1">
      <alignment horizontal="center" vertical="center"/>
    </xf>
    <xf numFmtId="3" fontId="11" fillId="0" borderId="0" xfId="0" applyNumberFormat="1" applyFont="1" applyAlignment="1">
      <alignment horizontal="center" vertical="center"/>
    </xf>
    <xf numFmtId="174" fontId="13" fillId="4" borderId="0" xfId="0" applyNumberFormat="1" applyFont="1" applyFill="1" applyAlignment="1">
      <alignment horizontal="center" vertical="center"/>
    </xf>
    <xf numFmtId="174" fontId="16" fillId="4" borderId="0" xfId="1" applyNumberFormat="1" applyFont="1" applyFill="1" applyAlignment="1">
      <alignment horizontal="center" vertical="center"/>
    </xf>
    <xf numFmtId="174" fontId="11" fillId="0" borderId="0" xfId="0" applyNumberFormat="1" applyFont="1" applyAlignment="1">
      <alignment horizontal="center" vertical="center"/>
    </xf>
    <xf numFmtId="15" fontId="11" fillId="0" borderId="0" xfId="0" applyNumberFormat="1" applyFont="1" applyAlignment="1">
      <alignment horizontal="center" vertical="center"/>
    </xf>
    <xf numFmtId="15" fontId="11" fillId="4" borderId="0" xfId="0" applyNumberFormat="1" applyFont="1" applyFill="1" applyAlignment="1">
      <alignment horizontal="center" vertical="center"/>
    </xf>
    <xf numFmtId="3" fontId="11" fillId="4" borderId="0" xfId="0" applyNumberFormat="1" applyFont="1" applyFill="1" applyAlignment="1">
      <alignment horizontal="center" vertical="center"/>
    </xf>
    <xf numFmtId="9" fontId="11" fillId="0" borderId="0" xfId="1" applyFont="1" applyAlignment="1">
      <alignment horizontal="center" vertical="center"/>
    </xf>
    <xf numFmtId="10" fontId="11" fillId="0" borderId="0" xfId="1" applyNumberFormat="1" applyFont="1" applyAlignment="1">
      <alignment horizontal="center" vertical="center"/>
    </xf>
    <xf numFmtId="10" fontId="11" fillId="0" borderId="0" xfId="0" applyNumberFormat="1" applyFont="1" applyAlignment="1">
      <alignment horizontal="center" vertical="center"/>
    </xf>
    <xf numFmtId="0" fontId="9" fillId="6" borderId="0" xfId="0" applyFont="1" applyFill="1" applyAlignment="1">
      <alignment horizontal="center" vertical="center"/>
    </xf>
    <xf numFmtId="0" fontId="13" fillId="0" borderId="0" xfId="0" applyFont="1" applyAlignment="1">
      <alignment horizontal="center" vertical="center"/>
    </xf>
    <xf numFmtId="172" fontId="17" fillId="4" borderId="0" xfId="0" applyNumberFormat="1" applyFont="1" applyFill="1" applyAlignment="1">
      <alignment horizontal="center" vertical="center"/>
    </xf>
    <xf numFmtId="3" fontId="16" fillId="4" borderId="0" xfId="0" applyNumberFormat="1" applyFont="1" applyFill="1" applyAlignment="1">
      <alignment horizontal="center" vertical="center"/>
    </xf>
    <xf numFmtId="0" fontId="16" fillId="4" borderId="0" xfId="0" applyFont="1" applyFill="1" applyAlignment="1">
      <alignment horizontal="center" vertical="center"/>
    </xf>
    <xf numFmtId="174" fontId="12" fillId="4" borderId="0" xfId="1" applyNumberFormat="1" applyFont="1" applyFill="1" applyAlignment="1">
      <alignment horizontal="center" vertical="center"/>
    </xf>
    <xf numFmtId="167" fontId="15" fillId="4" borderId="0" xfId="0" applyNumberFormat="1" applyFont="1" applyFill="1" applyAlignment="1">
      <alignment horizontal="center" vertical="center" readingOrder="2"/>
    </xf>
    <xf numFmtId="173" fontId="13" fillId="0" borderId="0" xfId="0" applyNumberFormat="1" applyFont="1" applyAlignment="1">
      <alignment horizontal="center" vertical="center"/>
    </xf>
    <xf numFmtId="0" fontId="14" fillId="4" borderId="0" xfId="0" applyFont="1" applyFill="1" applyAlignment="1">
      <alignment horizontal="center" vertical="center"/>
    </xf>
    <xf numFmtId="10" fontId="13" fillId="0" borderId="0" xfId="0" applyNumberFormat="1" applyFont="1" applyAlignment="1">
      <alignment horizontal="center" vertical="center"/>
    </xf>
    <xf numFmtId="0" fontId="9" fillId="6" borderId="28" xfId="0" applyFont="1" applyFill="1" applyBorder="1" applyAlignment="1">
      <alignment horizontal="center" vertical="center"/>
    </xf>
    <xf numFmtId="0" fontId="9" fillId="6" borderId="29" xfId="0" applyFont="1" applyFill="1" applyBorder="1" applyAlignment="1">
      <alignment horizontal="center" vertical="center"/>
    </xf>
    <xf numFmtId="0" fontId="9" fillId="6" borderId="30" xfId="0" applyFont="1" applyFill="1" applyBorder="1" applyAlignment="1">
      <alignment horizontal="center" vertical="center"/>
    </xf>
    <xf numFmtId="0" fontId="10" fillId="6" borderId="0" xfId="0" applyFont="1" applyFill="1" applyAlignment="1">
      <alignment horizontal="center" vertical="center"/>
    </xf>
    <xf numFmtId="0" fontId="13" fillId="4" borderId="0" xfId="0" applyFont="1" applyFill="1" applyAlignment="1">
      <alignment horizontal="center" vertical="center"/>
    </xf>
    <xf numFmtId="167" fontId="13" fillId="4" borderId="0" xfId="0" applyNumberFormat="1" applyFont="1" applyFill="1" applyAlignment="1">
      <alignment horizontal="center" vertical="center" readingOrder="2"/>
    </xf>
    <xf numFmtId="172" fontId="13" fillId="4" borderId="0" xfId="0" applyNumberFormat="1" applyFont="1" applyFill="1" applyAlignment="1">
      <alignment horizontal="center" vertical="center" readingOrder="1"/>
    </xf>
    <xf numFmtId="0" fontId="9" fillId="4" borderId="0" xfId="0" applyFont="1" applyFill="1" applyAlignment="1">
      <alignment horizontal="center" vertical="center"/>
    </xf>
  </cellXfs>
  <cellStyles count="2">
    <cellStyle name="Normal" xfId="0" builtinId="0"/>
    <cellStyle name="Percent" xfId="1" builtinId="5"/>
  </cellStyles>
  <dxfs count="0"/>
  <tableStyles count="0" defaultTableStyle="TableStyleMedium2" defaultPivotStyle="PivotStyleLight16"/>
  <colors>
    <mruColors>
      <color rgb="FF83D2F1"/>
      <color rgb="FFFFFF99"/>
      <color rgb="FFDEA900"/>
      <color rgb="FF1018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148097019951101E-4"/>
          <c:y val="0"/>
          <c:w val="0.83793709061478616"/>
          <c:h val="1"/>
        </c:manualLayout>
      </c:layout>
      <c:doughnutChart>
        <c:varyColors val="1"/>
        <c:ser>
          <c:idx val="0"/>
          <c:order val="0"/>
          <c:dPt>
            <c:idx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1-737B-4ADD-B775-624954D74E87}"/>
              </c:ext>
            </c:extLst>
          </c:dPt>
          <c:dPt>
            <c:idx val="1"/>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3-737B-4ADD-B775-624954D74E87}"/>
              </c:ext>
            </c:extLst>
          </c:dPt>
          <c:dPt>
            <c:idx val="2"/>
            <c:bubble3D val="0"/>
            <c:spPr>
              <a:noFill/>
              <a:ln w="19050">
                <a:noFill/>
              </a:ln>
              <a:effectLst/>
            </c:spPr>
            <c:extLst>
              <c:ext xmlns:c16="http://schemas.microsoft.com/office/drawing/2014/chart" uri="{C3380CC4-5D6E-409C-BE32-E72D297353CC}">
                <c16:uniqueId val="{00000001-D21E-417D-AF6C-C01D0B77651B}"/>
              </c:ext>
            </c:extLst>
          </c:dPt>
          <c:val>
            <c:numRef>
              <c:f>Dashboard!$Z$23:$Z$25</c:f>
              <c:numCache>
                <c:formatCode>0\ " days "</c:formatCode>
                <c:ptCount val="3"/>
                <c:pt idx="0" formatCode="General">
                  <c:v>45</c:v>
                </c:pt>
                <c:pt idx="1">
                  <c:v>320</c:v>
                </c:pt>
                <c:pt idx="2">
                  <c:v>365</c:v>
                </c:pt>
              </c:numCache>
            </c:numRef>
          </c:val>
          <c:extLst>
            <c:ext xmlns:c16="http://schemas.microsoft.com/office/drawing/2014/chart" uri="{C3380CC4-5D6E-409C-BE32-E72D297353CC}">
              <c16:uniqueId val="{00000000-D21E-417D-AF6C-C01D0B77651B}"/>
            </c:ext>
          </c:extLst>
        </c:ser>
        <c:dLbls>
          <c:showLegendKey val="0"/>
          <c:showVal val="0"/>
          <c:showCatName val="0"/>
          <c:showSerName val="0"/>
          <c:showPercent val="0"/>
          <c:showBubbleSize val="0"/>
          <c:showLeaderLines val="1"/>
        </c:dLbls>
        <c:firstSliceAng val="27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Dashboard!$Y$4</c:f>
              <c:strCache>
                <c:ptCount val="1"/>
                <c:pt idx="0">
                  <c:v>Planned Value</c:v>
                </c:pt>
              </c:strCache>
            </c:strRef>
          </c:tx>
          <c:spPr>
            <a:effectLst>
              <a:innerShdw blurRad="114300">
                <a:prstClr val="black"/>
              </a:innerShdw>
            </a:effectLst>
          </c:spPr>
          <c:dPt>
            <c:idx val="0"/>
            <c:bubble3D val="0"/>
            <c:spPr>
              <a:solidFill>
                <a:schemeClr val="accent6">
                  <a:lumMod val="75000"/>
                </a:schemeClr>
              </a:solidFill>
              <a:ln w="19050">
                <a:solidFill>
                  <a:srgbClr val="C00000"/>
                </a:solidFill>
              </a:ln>
              <a:effectLst>
                <a:innerShdw blurRad="114300">
                  <a:prstClr val="black"/>
                </a:innerShdw>
              </a:effectLst>
            </c:spPr>
            <c:extLst>
              <c:ext xmlns:c16="http://schemas.microsoft.com/office/drawing/2014/chart" uri="{C3380CC4-5D6E-409C-BE32-E72D297353CC}">
                <c16:uniqueId val="{00000002-7EDC-48D8-B490-0C51BFBB32CE}"/>
              </c:ext>
            </c:extLst>
          </c:dPt>
          <c:dPt>
            <c:idx val="1"/>
            <c:bubble3D val="0"/>
            <c:spPr>
              <a:solidFill>
                <a:schemeClr val="accent6">
                  <a:lumMod val="20000"/>
                  <a:lumOff val="80000"/>
                </a:schemeClr>
              </a:solidFill>
              <a:ln w="19050">
                <a:solidFill>
                  <a:schemeClr val="lt1"/>
                </a:solidFill>
              </a:ln>
              <a:effectLst>
                <a:innerShdw blurRad="114300">
                  <a:prstClr val="black"/>
                </a:innerShdw>
              </a:effectLst>
            </c:spPr>
            <c:extLst>
              <c:ext xmlns:c16="http://schemas.microsoft.com/office/drawing/2014/chart" uri="{C3380CC4-5D6E-409C-BE32-E72D297353CC}">
                <c16:uniqueId val="{00000001-7EDC-48D8-B490-0C51BFBB32CE}"/>
              </c:ext>
            </c:extLst>
          </c:dPt>
          <c:val>
            <c:numRef>
              <c:f>Dashboard!$Z$4:$AA$4</c:f>
              <c:numCache>
                <c:formatCode>0%</c:formatCode>
                <c:ptCount val="2"/>
                <c:pt idx="0" formatCode="0.0%">
                  <c:v>0.1144</c:v>
                </c:pt>
                <c:pt idx="1">
                  <c:v>0.88559999999999994</c:v>
                </c:pt>
              </c:numCache>
            </c:numRef>
          </c:val>
          <c:extLst>
            <c:ext xmlns:c16="http://schemas.microsoft.com/office/drawing/2014/chart" uri="{C3380CC4-5D6E-409C-BE32-E72D297353CC}">
              <c16:uniqueId val="{00000000-7EDC-48D8-B490-0C51BFBB32CE}"/>
            </c:ext>
          </c:extLst>
        </c:ser>
        <c:dLbls>
          <c:showLegendKey val="0"/>
          <c:showVal val="0"/>
          <c:showCatName val="0"/>
          <c:showSerName val="0"/>
          <c:showPercent val="0"/>
          <c:showBubbleSize val="0"/>
          <c:showLeaderLines val="1"/>
        </c:dLbls>
        <c:firstSliceAng val="27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Dashboard!$Y$5</c:f>
              <c:strCache>
                <c:ptCount val="1"/>
                <c:pt idx="0">
                  <c:v>Earned Value</c:v>
                </c:pt>
              </c:strCache>
            </c:strRef>
          </c:tx>
          <c:spPr>
            <a:solidFill>
              <a:schemeClr val="accent1">
                <a:lumMod val="20000"/>
                <a:lumOff val="80000"/>
              </a:schemeClr>
            </a:solidFill>
            <a:effectLst>
              <a:innerShdw blurRad="114300">
                <a:prstClr val="black"/>
              </a:innerShdw>
            </a:effectLst>
          </c:spPr>
          <c:dPt>
            <c:idx val="0"/>
            <c:bubble3D val="0"/>
            <c:spPr>
              <a:solidFill>
                <a:schemeClr val="accent1">
                  <a:lumMod val="50000"/>
                </a:schemeClr>
              </a:solidFill>
              <a:ln w="19050">
                <a:solidFill>
                  <a:schemeClr val="accent4">
                    <a:lumMod val="50000"/>
                  </a:schemeClr>
                </a:solidFill>
              </a:ln>
              <a:effectLst>
                <a:innerShdw blurRad="114300">
                  <a:prstClr val="black"/>
                </a:innerShdw>
              </a:effectLst>
            </c:spPr>
            <c:extLst>
              <c:ext xmlns:c16="http://schemas.microsoft.com/office/drawing/2014/chart" uri="{C3380CC4-5D6E-409C-BE32-E72D297353CC}">
                <c16:uniqueId val="{00000001-64EE-4F4A-B359-CD045D28B739}"/>
              </c:ext>
            </c:extLst>
          </c:dPt>
          <c:dPt>
            <c:idx val="1"/>
            <c:bubble3D val="0"/>
            <c:spPr>
              <a:solidFill>
                <a:schemeClr val="accent1">
                  <a:lumMod val="20000"/>
                  <a:lumOff val="80000"/>
                </a:schemeClr>
              </a:solidFill>
              <a:ln w="19050">
                <a:solidFill>
                  <a:schemeClr val="lt1"/>
                </a:solidFill>
              </a:ln>
              <a:effectLst>
                <a:innerShdw blurRad="114300">
                  <a:prstClr val="black"/>
                </a:innerShdw>
              </a:effectLst>
            </c:spPr>
            <c:extLst>
              <c:ext xmlns:c16="http://schemas.microsoft.com/office/drawing/2014/chart" uri="{C3380CC4-5D6E-409C-BE32-E72D297353CC}">
                <c16:uniqueId val="{00000003-64EE-4F4A-B359-CD045D28B739}"/>
              </c:ext>
            </c:extLst>
          </c:dPt>
          <c:val>
            <c:numRef>
              <c:f>Dashboard!$Z$5:$AA$5</c:f>
              <c:numCache>
                <c:formatCode>0%</c:formatCode>
                <c:ptCount val="2"/>
                <c:pt idx="0" formatCode="0.0%">
                  <c:v>7.7399999999999997E-2</c:v>
                </c:pt>
                <c:pt idx="1">
                  <c:v>0.92259999999999998</c:v>
                </c:pt>
              </c:numCache>
            </c:numRef>
          </c:val>
          <c:extLst>
            <c:ext xmlns:c16="http://schemas.microsoft.com/office/drawing/2014/chart" uri="{C3380CC4-5D6E-409C-BE32-E72D297353CC}">
              <c16:uniqueId val="{00000004-64EE-4F4A-B359-CD045D28B739}"/>
            </c:ext>
          </c:extLst>
        </c:ser>
        <c:dLbls>
          <c:showLegendKey val="0"/>
          <c:showVal val="0"/>
          <c:showCatName val="0"/>
          <c:showSerName val="0"/>
          <c:showPercent val="0"/>
          <c:showBubbleSize val="0"/>
          <c:showLeaderLines val="1"/>
        </c:dLbls>
        <c:firstSliceAng val="27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291600777941364"/>
          <c:y val="5.4467774861475658E-2"/>
          <c:w val="0.74372835128601533"/>
          <c:h val="0.87180442414340875"/>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1-0FFA-48C4-83AE-BE25A43D66A0}"/>
              </c:ext>
            </c:extLst>
          </c:dPt>
          <c:dPt>
            <c:idx val="1"/>
            <c:invertIfNegative val="0"/>
            <c:bubble3D val="0"/>
            <c:spPr>
              <a:solidFill>
                <a:srgbClr val="C00000"/>
              </a:solidFill>
              <a:ln>
                <a:noFill/>
              </a:ln>
              <a:effectLst/>
            </c:spPr>
            <c:extLst>
              <c:ext xmlns:c16="http://schemas.microsoft.com/office/drawing/2014/chart" uri="{C3380CC4-5D6E-409C-BE32-E72D297353CC}">
                <c16:uniqueId val="{00000002-0FFA-48C4-83AE-BE25A43D66A0}"/>
              </c:ext>
            </c:extLst>
          </c:dPt>
          <c:dLbls>
            <c:dLbl>
              <c:idx val="0"/>
              <c:layout/>
              <c:tx>
                <c:rich>
                  <a:bodyPr rot="0" spcFirstLastPara="1" vertOverflow="ellipsis" vert="horz" wrap="square" lIns="38100" tIns="19050" rIns="38100" bIns="19050" anchor="ctr" anchorCtr="0">
                    <a:noAutofit/>
                  </a:bodyPr>
                  <a:lstStyle/>
                  <a:p>
                    <a:pPr algn="ctr">
                      <a:defRPr lang="en-US" sz="1200" b="1" i="0" u="none" strike="noStrike" kern="1200" baseline="0">
                        <a:solidFill>
                          <a:schemeClr val="tx1"/>
                        </a:solidFill>
                        <a:latin typeface="+mn-lt"/>
                        <a:ea typeface="+mn-ea"/>
                        <a:cs typeface="+mn-cs"/>
                      </a:defRPr>
                    </a:pPr>
                    <a:fld id="{74712784-0260-4288-A783-2B8F68C71966}" type="VALUE">
                      <a:rPr lang="en-US" sz="1200" b="1" i="0" u="none" strike="noStrike" kern="1200" baseline="0">
                        <a:solidFill>
                          <a:schemeClr val="tx1"/>
                        </a:solidFill>
                        <a:latin typeface="+mn-lt"/>
                        <a:ea typeface="+mn-ea"/>
                        <a:cs typeface="+mn-cs"/>
                      </a:rPr>
                      <a:pPr algn="ctr">
                        <a:defRPr lang="en-US" sz="1200" b="1">
                          <a:solidFill>
                            <a:schemeClr val="tx1"/>
                          </a:solidFill>
                        </a:defRPr>
                      </a:pPr>
                      <a:t>[VALUE]</a:t>
                    </a:fld>
                    <a:endParaRPr lang="en-US"/>
                  </a:p>
                </c:rich>
              </c:tx>
              <c:numFmt formatCode="#,##0.00" sourceLinked="0"/>
              <c:spPr>
                <a:noFill/>
                <a:ln>
                  <a:noFill/>
                </a:ln>
                <a:effectLst/>
              </c:spPr>
              <c:txPr>
                <a:bodyPr rot="0" spcFirstLastPara="1" vertOverflow="ellipsis" vert="horz" wrap="square" lIns="38100" tIns="19050" rIns="38100" bIns="19050" anchor="ctr" anchorCtr="0">
                  <a:noAutofit/>
                </a:bodyPr>
                <a:lstStyle/>
                <a:p>
                  <a:pPr algn="ctr">
                    <a:defRPr lang="en-US"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15:dlblFieldTable/>
                  <c15:showDataLabelsRange val="0"/>
                </c:ext>
                <c:ext xmlns:c16="http://schemas.microsoft.com/office/drawing/2014/chart" uri="{C3380CC4-5D6E-409C-BE32-E72D297353CC}">
                  <c16:uniqueId val="{00000001-0FFA-48C4-83AE-BE25A43D66A0}"/>
                </c:ext>
              </c:extLst>
            </c:dLbl>
            <c:dLbl>
              <c:idx val="1"/>
              <c:numFmt formatCode="#,##0.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2-0FFA-48C4-83AE-BE25A43D66A0}"/>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Dashboard!$Y$10:$Y$11</c:f>
              <c:strCache>
                <c:ptCount val="2"/>
                <c:pt idx="0">
                  <c:v>Total Value</c:v>
                </c:pt>
                <c:pt idx="1">
                  <c:v>Invoices</c:v>
                </c:pt>
              </c:strCache>
            </c:strRef>
          </c:cat>
          <c:val>
            <c:numRef>
              <c:f>Dashboard!$Z$10:$Z$11</c:f>
              <c:numCache>
                <c:formatCode>#,##0\ " EGP "</c:formatCode>
                <c:ptCount val="2"/>
                <c:pt idx="0">
                  <c:v>31294515</c:v>
                </c:pt>
                <c:pt idx="1">
                  <c:v>1850000</c:v>
                </c:pt>
              </c:numCache>
            </c:numRef>
          </c:val>
          <c:extLst>
            <c:ext xmlns:c16="http://schemas.microsoft.com/office/drawing/2014/chart" uri="{C3380CC4-5D6E-409C-BE32-E72D297353CC}">
              <c16:uniqueId val="{00000000-0FFA-48C4-83AE-BE25A43D66A0}"/>
            </c:ext>
          </c:extLst>
        </c:ser>
        <c:dLbls>
          <c:dLblPos val="outEnd"/>
          <c:showLegendKey val="0"/>
          <c:showVal val="1"/>
          <c:showCatName val="0"/>
          <c:showSerName val="0"/>
          <c:showPercent val="0"/>
          <c:showBubbleSize val="0"/>
        </c:dLbls>
        <c:gapWidth val="219"/>
        <c:overlap val="-27"/>
        <c:axId val="1096117135"/>
        <c:axId val="1096127119"/>
      </c:barChart>
      <c:catAx>
        <c:axId val="1096117135"/>
        <c:scaling>
          <c:orientation val="minMax"/>
        </c:scaling>
        <c:delete val="1"/>
        <c:axPos val="b"/>
        <c:numFmt formatCode="General" sourceLinked="1"/>
        <c:majorTickMark val="in"/>
        <c:minorTickMark val="in"/>
        <c:tickLblPos val="nextTo"/>
        <c:crossAx val="1096127119"/>
        <c:crosses val="autoZero"/>
        <c:auto val="1"/>
        <c:lblAlgn val="ctr"/>
        <c:lblOffset val="100"/>
        <c:noMultiLvlLbl val="0"/>
      </c:catAx>
      <c:valAx>
        <c:axId val="10961271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in"/>
        <c:tickLblPos val="nextTo"/>
        <c:spPr>
          <a:noFill/>
          <a:ln>
            <a:solidFill>
              <a:schemeClr val="accent1"/>
            </a:solidFill>
          </a:ln>
          <a:effectLst/>
        </c:spPr>
        <c:txPr>
          <a:bodyPr rot="-60000000" spcFirstLastPara="1" vertOverflow="ellipsis" vert="horz" wrap="square" anchor="ctr" anchorCtr="1"/>
          <a:lstStyle/>
          <a:p>
            <a:pPr algn="ctr">
              <a:defRPr lang="en-US" sz="1200" b="1" i="0" u="none" strike="noStrike" kern="1200" baseline="0">
                <a:solidFill>
                  <a:schemeClr val="tx1"/>
                </a:solidFill>
                <a:latin typeface="+mn-lt"/>
                <a:ea typeface="+mn-ea"/>
                <a:cs typeface="+mn-cs"/>
              </a:defRPr>
            </a:pPr>
            <a:endParaRPr lang="en-US"/>
          </a:p>
        </c:txPr>
        <c:crossAx val="1096117135"/>
        <c:crosses val="autoZero"/>
        <c:crossBetween val="between"/>
        <c:dispUnits>
          <c:builtInUnit val="millions"/>
          <c:dispUnitsLbl>
            <c:layout>
              <c:manualLayout>
                <c:xMode val="edge"/>
                <c:yMode val="edge"/>
                <c:x val="1.1993620918803028E-2"/>
                <c:y val="0"/>
              </c:manualLayout>
            </c:layout>
            <c:spPr>
              <a:noFill/>
              <a:ln>
                <a:noFill/>
              </a:ln>
              <a:effectLst/>
            </c:spPr>
            <c:txPr>
              <a:bodyPr rot="-5400000" spcFirstLastPara="1" vertOverflow="ellipsis" vert="horz" wrap="square" anchor="ctr" anchorCtr="1"/>
              <a:lstStyle/>
              <a:p>
                <a:pPr algn="ctr">
                  <a:defRPr lang="en-US" sz="1200" b="1" i="0" u="none" strike="noStrike" kern="1200" baseline="0">
                    <a:solidFill>
                      <a:schemeClr val="tx1"/>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7591529823527169E-2"/>
          <c:y val="9.4282799864755004E-2"/>
          <c:w val="0.88221181231339774"/>
          <c:h val="0.74709426601827611"/>
        </c:manualLayout>
      </c:layout>
      <c:lineChart>
        <c:grouping val="standard"/>
        <c:varyColors val="0"/>
        <c:ser>
          <c:idx val="1"/>
          <c:order val="0"/>
          <c:tx>
            <c:strRef>
              <c:f>Dashboard!$AD$17</c:f>
              <c:strCache>
                <c:ptCount val="1"/>
                <c:pt idx="0">
                  <c:v>Planned %</c:v>
                </c:pt>
              </c:strCache>
            </c:strRef>
          </c:tx>
          <c:spPr>
            <a:ln w="50800" cap="rnd">
              <a:solidFill>
                <a:srgbClr val="002060"/>
              </a:solidFill>
              <a:round/>
            </a:ln>
            <a:effectLst/>
          </c:spPr>
          <c:marker>
            <c:symbol val="circle"/>
            <c:size val="6"/>
            <c:spPr>
              <a:solidFill>
                <a:srgbClr val="C00000"/>
              </a:solidFill>
              <a:ln w="38100">
                <a:solidFill>
                  <a:srgbClr val="C00000"/>
                </a:solidFill>
              </a:ln>
              <a:effectLst/>
            </c:spPr>
          </c:marker>
          <c:dLbls>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Dashboard!$AC$18:$AC$31</c:f>
              <c:numCache>
                <c:formatCode>mmm\-yyyy</c:formatCode>
                <c:ptCount val="14"/>
                <c:pt idx="0">
                  <c:v>44896</c:v>
                </c:pt>
                <c:pt idx="1">
                  <c:v>44941</c:v>
                </c:pt>
                <c:pt idx="2">
                  <c:v>44958</c:v>
                </c:pt>
                <c:pt idx="3">
                  <c:v>44986</c:v>
                </c:pt>
                <c:pt idx="4">
                  <c:v>45017</c:v>
                </c:pt>
                <c:pt idx="5">
                  <c:v>45047</c:v>
                </c:pt>
                <c:pt idx="6">
                  <c:v>45078</c:v>
                </c:pt>
                <c:pt idx="7">
                  <c:v>45108</c:v>
                </c:pt>
                <c:pt idx="8">
                  <c:v>45139</c:v>
                </c:pt>
                <c:pt idx="9">
                  <c:v>45170</c:v>
                </c:pt>
                <c:pt idx="10">
                  <c:v>45200</c:v>
                </c:pt>
                <c:pt idx="11">
                  <c:v>45231</c:v>
                </c:pt>
                <c:pt idx="12">
                  <c:v>45261</c:v>
                </c:pt>
                <c:pt idx="13">
                  <c:v>45292</c:v>
                </c:pt>
              </c:numCache>
            </c:numRef>
          </c:cat>
          <c:val>
            <c:numRef>
              <c:f>Dashboard!$AD$18:$AD$31</c:f>
              <c:numCache>
                <c:formatCode>0.00%</c:formatCode>
                <c:ptCount val="14"/>
                <c:pt idx="0">
                  <c:v>0</c:v>
                </c:pt>
                <c:pt idx="1">
                  <c:v>5.4934610745684988E-2</c:v>
                </c:pt>
                <c:pt idx="2">
                  <c:v>0.19373947798839508</c:v>
                </c:pt>
                <c:pt idx="3">
                  <c:v>0.26301407770658852</c:v>
                </c:pt>
                <c:pt idx="4">
                  <c:v>0.3424714203111951</c:v>
                </c:pt>
                <c:pt idx="5">
                  <c:v>0.42452420176506972</c:v>
                </c:pt>
                <c:pt idx="6">
                  <c:v>0.49437337501475898</c:v>
                </c:pt>
                <c:pt idx="7">
                  <c:v>0.56460574640635908</c:v>
                </c:pt>
                <c:pt idx="8">
                  <c:v>0.65529182989415236</c:v>
                </c:pt>
                <c:pt idx="9">
                  <c:v>0.7296516018861452</c:v>
                </c:pt>
                <c:pt idx="10">
                  <c:v>0.80989221274079504</c:v>
                </c:pt>
                <c:pt idx="11">
                  <c:v>0.94077224075848431</c:v>
                </c:pt>
                <c:pt idx="12">
                  <c:v>1</c:v>
                </c:pt>
                <c:pt idx="13">
                  <c:v>1</c:v>
                </c:pt>
              </c:numCache>
            </c:numRef>
          </c:val>
          <c:smooth val="0"/>
          <c:extLst>
            <c:ext xmlns:c16="http://schemas.microsoft.com/office/drawing/2014/chart" uri="{C3380CC4-5D6E-409C-BE32-E72D297353CC}">
              <c16:uniqueId val="{00000001-6169-4024-B624-AF9D6FB6FA7A}"/>
            </c:ext>
          </c:extLst>
        </c:ser>
        <c:ser>
          <c:idx val="0"/>
          <c:order val="1"/>
          <c:tx>
            <c:strRef>
              <c:f>Dashboard!$AE$17</c:f>
              <c:strCache>
                <c:ptCount val="1"/>
                <c:pt idx="0">
                  <c:v>Actual %</c:v>
                </c:pt>
              </c:strCache>
            </c:strRef>
          </c:tx>
          <c:spPr>
            <a:ln w="63500" cap="rnd">
              <a:solidFill>
                <a:srgbClr val="FF0000"/>
              </a:solidFill>
              <a:round/>
            </a:ln>
            <a:effectLst/>
          </c:spPr>
          <c:marker>
            <c:symbol val="circle"/>
            <c:size val="5"/>
            <c:spPr>
              <a:solidFill>
                <a:srgbClr val="70AD47">
                  <a:lumMod val="50000"/>
                </a:srgbClr>
              </a:solidFill>
              <a:ln w="41275">
                <a:solidFill>
                  <a:srgbClr val="70AD47">
                    <a:lumMod val="50000"/>
                  </a:srgbClr>
                </a:solidFill>
              </a:ln>
              <a:effectLst/>
            </c:spPr>
          </c:marker>
          <c:dPt>
            <c:idx val="2"/>
            <c:marker>
              <c:symbol val="diamond"/>
              <c:size val="5"/>
              <c:spPr>
                <a:solidFill>
                  <a:srgbClr val="70AD47">
                    <a:lumMod val="50000"/>
                  </a:srgbClr>
                </a:solidFill>
                <a:ln w="41275">
                  <a:solidFill>
                    <a:srgbClr val="70AD47">
                      <a:lumMod val="50000"/>
                    </a:srgbClr>
                  </a:solidFill>
                </a:ln>
                <a:effectLst/>
              </c:spPr>
            </c:marker>
            <c:bubble3D val="0"/>
            <c:extLst>
              <c:ext xmlns:c16="http://schemas.microsoft.com/office/drawing/2014/chart" uri="{C3380CC4-5D6E-409C-BE32-E72D297353CC}">
                <c16:uniqueId val="{00000002-5959-4ED4-9636-B6EC4D1BDCC6}"/>
              </c:ext>
            </c:extLst>
          </c:dPt>
          <c:dLbls>
            <c:dLbl>
              <c:idx val="0"/>
              <c:delete val="1"/>
              <c:extLst>
                <c:ext xmlns:c15="http://schemas.microsoft.com/office/drawing/2012/chart" uri="{CE6537A1-D6FC-4f65-9D91-7224C49458BB}"/>
                <c:ext xmlns:c16="http://schemas.microsoft.com/office/drawing/2014/chart" uri="{C3380CC4-5D6E-409C-BE32-E72D297353CC}">
                  <c16:uniqueId val="{00000004-5959-4ED4-9636-B6EC4D1BDCC6}"/>
                </c:ext>
              </c:extLst>
            </c:dLbl>
            <c:dLbl>
              <c:idx val="1"/>
              <c:layout>
                <c:manualLayout>
                  <c:x val="4.4178794480131851E-3"/>
                  <c:y val="1.0359537116304661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5959-4ED4-9636-B6EC4D1BDCC6}"/>
                </c:ext>
              </c:extLst>
            </c:dLbl>
            <c:dLbl>
              <c:idx val="2"/>
              <c:layout>
                <c:manualLayout>
                  <c:x val="2.9452529653421415E-3"/>
                  <c:y val="1.0359537116304565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5959-4ED4-9636-B6EC4D1BDCC6}"/>
                </c:ext>
              </c:extLst>
            </c:dLbl>
            <c:dLbl>
              <c:idx val="4"/>
              <c:delete val="1"/>
              <c:extLst>
                <c:ext xmlns:c15="http://schemas.microsoft.com/office/drawing/2012/chart" uri="{CE6537A1-D6FC-4f65-9D91-7224C49458BB}"/>
                <c:ext xmlns:c16="http://schemas.microsoft.com/office/drawing/2014/chart" uri="{C3380CC4-5D6E-409C-BE32-E72D297353CC}">
                  <c16:uniqueId val="{00000002-981E-43BA-AFE7-42D7DD45C820}"/>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Dashboard!$AC$18:$AC$31</c:f>
              <c:numCache>
                <c:formatCode>mmm\-yyyy</c:formatCode>
                <c:ptCount val="14"/>
                <c:pt idx="0">
                  <c:v>44896</c:v>
                </c:pt>
                <c:pt idx="1">
                  <c:v>44941</c:v>
                </c:pt>
                <c:pt idx="2">
                  <c:v>44958</c:v>
                </c:pt>
                <c:pt idx="3">
                  <c:v>44986</c:v>
                </c:pt>
                <c:pt idx="4">
                  <c:v>45017</c:v>
                </c:pt>
                <c:pt idx="5">
                  <c:v>45047</c:v>
                </c:pt>
                <c:pt idx="6">
                  <c:v>45078</c:v>
                </c:pt>
                <c:pt idx="7">
                  <c:v>45108</c:v>
                </c:pt>
                <c:pt idx="8">
                  <c:v>45139</c:v>
                </c:pt>
                <c:pt idx="9">
                  <c:v>45170</c:v>
                </c:pt>
                <c:pt idx="10">
                  <c:v>45200</c:v>
                </c:pt>
                <c:pt idx="11">
                  <c:v>45231</c:v>
                </c:pt>
                <c:pt idx="12">
                  <c:v>45261</c:v>
                </c:pt>
                <c:pt idx="13">
                  <c:v>45292</c:v>
                </c:pt>
              </c:numCache>
            </c:numRef>
          </c:cat>
          <c:val>
            <c:numRef>
              <c:f>Dashboard!$AE$18:$AE$25</c:f>
              <c:numCache>
                <c:formatCode>0.00%</c:formatCode>
                <c:ptCount val="8"/>
                <c:pt idx="0">
                  <c:v>0</c:v>
                </c:pt>
                <c:pt idx="1">
                  <c:v>0.04</c:v>
                </c:pt>
                <c:pt idx="2">
                  <c:v>7.7399999999999997E-2</c:v>
                </c:pt>
                <c:pt idx="3">
                  <c:v>8.8700000000000001E-2</c:v>
                </c:pt>
              </c:numCache>
            </c:numRef>
          </c:val>
          <c:smooth val="0"/>
          <c:extLst>
            <c:ext xmlns:c16="http://schemas.microsoft.com/office/drawing/2014/chart" uri="{C3380CC4-5D6E-409C-BE32-E72D297353CC}">
              <c16:uniqueId val="{00000001-5959-4ED4-9636-B6EC4D1BDCC6}"/>
            </c:ext>
          </c:extLst>
        </c:ser>
        <c:ser>
          <c:idx val="2"/>
          <c:order val="2"/>
          <c:tx>
            <c:strRef>
              <c:f>Dashboard!$AF$17</c:f>
              <c:strCache>
                <c:ptCount val="1"/>
                <c:pt idx="0">
                  <c:v>Recovery</c:v>
                </c:pt>
              </c:strCache>
            </c:strRef>
          </c:tx>
          <c:spPr>
            <a:ln w="50800" cap="rnd">
              <a:solidFill>
                <a:srgbClr val="00B050"/>
              </a:solidFill>
              <a:round/>
            </a:ln>
            <a:effectLst/>
          </c:spPr>
          <c:marker>
            <c:symbol val="circle"/>
            <c:size val="5"/>
            <c:spPr>
              <a:solidFill>
                <a:schemeClr val="accent3"/>
              </a:solidFill>
              <a:ln w="9525">
                <a:solidFill>
                  <a:schemeClr val="accent3"/>
                </a:solidFill>
              </a:ln>
              <a:effectLst/>
            </c:spPr>
          </c:marker>
          <c:dLbls>
            <c:dLbl>
              <c:idx val="3"/>
              <c:delete val="1"/>
              <c:extLst>
                <c:ext xmlns:c15="http://schemas.microsoft.com/office/drawing/2012/chart" uri="{CE6537A1-D6FC-4f65-9D91-7224C49458BB}"/>
                <c:ext xmlns:c16="http://schemas.microsoft.com/office/drawing/2014/chart" uri="{C3380CC4-5D6E-409C-BE32-E72D297353CC}">
                  <c16:uniqueId val="{00000001-981E-43BA-AFE7-42D7DD45C820}"/>
                </c:ext>
              </c:extLst>
            </c:dLbl>
            <c:dLbl>
              <c:idx val="10"/>
              <c:delete val="1"/>
              <c:extLst>
                <c:ext xmlns:c15="http://schemas.microsoft.com/office/drawing/2012/chart" uri="{CE6537A1-D6FC-4f65-9D91-7224C49458BB}"/>
                <c:ext xmlns:c16="http://schemas.microsoft.com/office/drawing/2014/chart" uri="{C3380CC4-5D6E-409C-BE32-E72D297353CC}">
                  <c16:uniqueId val="{00000005-981E-43BA-AFE7-42D7DD45C820}"/>
                </c:ext>
              </c:extLst>
            </c:dLbl>
            <c:dLbl>
              <c:idx val="12"/>
              <c:delete val="1"/>
              <c:extLst>
                <c:ext xmlns:c15="http://schemas.microsoft.com/office/drawing/2012/chart" uri="{CE6537A1-D6FC-4f65-9D91-7224C49458BB}"/>
                <c:ext xmlns:c16="http://schemas.microsoft.com/office/drawing/2014/chart" uri="{C3380CC4-5D6E-409C-BE32-E72D297353CC}">
                  <c16:uniqueId val="{00000003-981E-43BA-AFE7-42D7DD45C820}"/>
                </c:ext>
              </c:extLst>
            </c:dLbl>
            <c:dLbl>
              <c:idx val="13"/>
              <c:delete val="1"/>
              <c:extLst>
                <c:ext xmlns:c15="http://schemas.microsoft.com/office/drawing/2012/chart" uri="{CE6537A1-D6FC-4f65-9D91-7224C49458BB}"/>
                <c:ext xmlns:c16="http://schemas.microsoft.com/office/drawing/2014/chart" uri="{C3380CC4-5D6E-409C-BE32-E72D297353CC}">
                  <c16:uniqueId val="{00000004-981E-43BA-AFE7-42D7DD45C820}"/>
                </c:ext>
              </c:extLst>
            </c:dLbl>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Dashboard!$AC$18:$AC$31</c:f>
              <c:numCache>
                <c:formatCode>mmm\-yyyy</c:formatCode>
                <c:ptCount val="14"/>
                <c:pt idx="0">
                  <c:v>44896</c:v>
                </c:pt>
                <c:pt idx="1">
                  <c:v>44941</c:v>
                </c:pt>
                <c:pt idx="2">
                  <c:v>44958</c:v>
                </c:pt>
                <c:pt idx="3">
                  <c:v>44986</c:v>
                </c:pt>
                <c:pt idx="4">
                  <c:v>45017</c:v>
                </c:pt>
                <c:pt idx="5">
                  <c:v>45047</c:v>
                </c:pt>
                <c:pt idx="6">
                  <c:v>45078</c:v>
                </c:pt>
                <c:pt idx="7">
                  <c:v>45108</c:v>
                </c:pt>
                <c:pt idx="8">
                  <c:v>45139</c:v>
                </c:pt>
                <c:pt idx="9">
                  <c:v>45170</c:v>
                </c:pt>
                <c:pt idx="10">
                  <c:v>45200</c:v>
                </c:pt>
                <c:pt idx="11">
                  <c:v>45231</c:v>
                </c:pt>
                <c:pt idx="12">
                  <c:v>45261</c:v>
                </c:pt>
                <c:pt idx="13">
                  <c:v>45292</c:v>
                </c:pt>
              </c:numCache>
            </c:numRef>
          </c:cat>
          <c:val>
            <c:numRef>
              <c:f>Dashboard!$AF$18:$AF$31</c:f>
              <c:numCache>
                <c:formatCode>0.00%</c:formatCode>
                <c:ptCount val="14"/>
                <c:pt idx="3">
                  <c:v>8.8700000000000001E-2</c:v>
                </c:pt>
                <c:pt idx="4" formatCode="0%">
                  <c:v>0.2101252721283586</c:v>
                </c:pt>
                <c:pt idx="5" formatCode="0%">
                  <c:v>0.30002383742007188</c:v>
                </c:pt>
                <c:pt idx="6" formatCode="0%">
                  <c:v>0.38671724040139305</c:v>
                </c:pt>
                <c:pt idx="7" formatCode="0%">
                  <c:v>0.48054521632624758</c:v>
                </c:pt>
                <c:pt idx="8" formatCode="0%">
                  <c:v>0.56485618903184798</c:v>
                </c:pt>
                <c:pt idx="9" formatCode="0%">
                  <c:v>0.64066643884719099</c:v>
                </c:pt>
                <c:pt idx="10" formatCode="0%">
                  <c:v>0.81</c:v>
                </c:pt>
              </c:numCache>
            </c:numRef>
          </c:val>
          <c:smooth val="0"/>
          <c:extLst>
            <c:ext xmlns:c16="http://schemas.microsoft.com/office/drawing/2014/chart" uri="{C3380CC4-5D6E-409C-BE32-E72D297353CC}">
              <c16:uniqueId val="{00000001-75DE-4F3C-B817-6BA10268DC2F}"/>
            </c:ext>
          </c:extLst>
        </c:ser>
        <c:dLbls>
          <c:showLegendKey val="0"/>
          <c:showVal val="0"/>
          <c:showCatName val="0"/>
          <c:showSerName val="0"/>
          <c:showPercent val="0"/>
          <c:showBubbleSize val="0"/>
        </c:dLbls>
        <c:marker val="1"/>
        <c:smooth val="0"/>
        <c:axId val="831120975"/>
        <c:axId val="831121807"/>
      </c:lineChart>
      <c:dateAx>
        <c:axId val="831120975"/>
        <c:scaling>
          <c:orientation val="minMax"/>
        </c:scaling>
        <c:delete val="0"/>
        <c:axPos val="b"/>
        <c:numFmt formatCode="mmm\-yyyy" sourceLinked="1"/>
        <c:majorTickMark val="in"/>
        <c:minorTickMark val="in"/>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ysClr val="windowText" lastClr="000000"/>
                </a:solidFill>
                <a:latin typeface="+mn-lt"/>
                <a:ea typeface="+mn-ea"/>
                <a:cs typeface="+mn-cs"/>
              </a:defRPr>
            </a:pPr>
            <a:endParaRPr lang="en-US"/>
          </a:p>
        </c:txPr>
        <c:crossAx val="831121807"/>
        <c:crosses val="autoZero"/>
        <c:auto val="1"/>
        <c:lblOffset val="100"/>
        <c:baseTimeUnit val="months"/>
      </c:dateAx>
      <c:valAx>
        <c:axId val="8311218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in"/>
        <c:tickLblPos val="nextTo"/>
        <c:spPr>
          <a:noFill/>
          <a:ln>
            <a:solidFill>
              <a:srgbClr val="002060"/>
            </a:solidFill>
          </a:ln>
          <a:effectLst/>
        </c:spPr>
        <c:txPr>
          <a:bodyPr rot="-60000000" spcFirstLastPara="1" vertOverflow="ellipsis" vert="horz" wrap="square" anchor="ctr" anchorCtr="1"/>
          <a:lstStyle/>
          <a:p>
            <a:pPr algn="ctr">
              <a:defRPr lang="en-US" sz="1600" b="1" i="0" u="none" strike="noStrike" kern="1200" baseline="0">
                <a:solidFill>
                  <a:sysClr val="windowText" lastClr="000000"/>
                </a:solidFill>
                <a:latin typeface="+mn-lt"/>
                <a:ea typeface="+mn-ea"/>
                <a:cs typeface="+mn-cs"/>
              </a:defRPr>
            </a:pPr>
            <a:endParaRPr lang="en-US"/>
          </a:p>
        </c:txPr>
        <c:crossAx val="831120975"/>
        <c:crosses val="autoZero"/>
        <c:crossBetween val="between"/>
      </c:valAx>
      <c:spPr>
        <a:noFill/>
        <a:ln>
          <a:noFill/>
        </a:ln>
        <a:effectLst/>
      </c:spPr>
    </c:plotArea>
    <c:legend>
      <c:legendPos val="t"/>
      <c:layout>
        <c:manualLayout>
          <c:xMode val="edge"/>
          <c:yMode val="edge"/>
          <c:x val="0.37337887884887455"/>
          <c:y val="1.5539305674456848E-2"/>
          <c:w val="0.37772042242888587"/>
          <c:h val="5.2794706154513038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212867622316445E-2"/>
          <c:y val="0.10269181416239623"/>
          <c:w val="0.87752776095295781"/>
          <c:h val="0.69038961534052656"/>
        </c:manualLayout>
      </c:layout>
      <c:doughnutChart>
        <c:varyColors val="1"/>
        <c:ser>
          <c:idx val="1"/>
          <c:order val="0"/>
          <c:explosion val="3"/>
          <c:dPt>
            <c:idx val="0"/>
            <c:bubble3D val="0"/>
            <c:spPr>
              <a:solidFill>
                <a:schemeClr val="accent1"/>
              </a:solidFill>
              <a:ln>
                <a:noFill/>
              </a:ln>
              <a:effectLst/>
            </c:spPr>
            <c:extLst>
              <c:ext xmlns:c16="http://schemas.microsoft.com/office/drawing/2014/chart" uri="{C3380CC4-5D6E-409C-BE32-E72D297353CC}">
                <c16:uniqueId val="{00000001-D282-4C99-A7DC-E1E1C5A9F37F}"/>
              </c:ext>
            </c:extLst>
          </c:dPt>
          <c:dPt>
            <c:idx val="1"/>
            <c:bubble3D val="0"/>
            <c:spPr>
              <a:solidFill>
                <a:schemeClr val="accent2"/>
              </a:solidFill>
              <a:ln>
                <a:noFill/>
              </a:ln>
              <a:effectLst/>
            </c:spPr>
            <c:extLst>
              <c:ext xmlns:c16="http://schemas.microsoft.com/office/drawing/2014/chart" uri="{C3380CC4-5D6E-409C-BE32-E72D297353CC}">
                <c16:uniqueId val="{00000003-D282-4C99-A7DC-E1E1C5A9F37F}"/>
              </c:ext>
            </c:extLst>
          </c:dPt>
          <c:dPt>
            <c:idx val="2"/>
            <c:bubble3D val="0"/>
            <c:spPr>
              <a:solidFill>
                <a:schemeClr val="accent3"/>
              </a:solidFill>
              <a:ln>
                <a:noFill/>
              </a:ln>
              <a:effectLst/>
            </c:spPr>
            <c:extLst>
              <c:ext xmlns:c16="http://schemas.microsoft.com/office/drawing/2014/chart" uri="{C3380CC4-5D6E-409C-BE32-E72D297353CC}">
                <c16:uniqueId val="{00000005-D282-4C99-A7DC-E1E1C5A9F37F}"/>
              </c:ext>
            </c:extLst>
          </c:dPt>
          <c:dPt>
            <c:idx val="3"/>
            <c:bubble3D val="0"/>
            <c:spPr>
              <a:solidFill>
                <a:schemeClr val="accent4"/>
              </a:solidFill>
              <a:ln>
                <a:noFill/>
              </a:ln>
              <a:effectLst/>
            </c:spPr>
            <c:extLst>
              <c:ext xmlns:c16="http://schemas.microsoft.com/office/drawing/2014/chart" uri="{C3380CC4-5D6E-409C-BE32-E72D297353CC}">
                <c16:uniqueId val="{00000007-D282-4C99-A7DC-E1E1C5A9F37F}"/>
              </c:ext>
            </c:extLst>
          </c:dPt>
          <c:dPt>
            <c:idx val="4"/>
            <c:bubble3D val="0"/>
            <c:spPr>
              <a:solidFill>
                <a:schemeClr val="accent5"/>
              </a:solidFill>
              <a:ln>
                <a:noFill/>
              </a:ln>
              <a:effectLst/>
            </c:spPr>
            <c:extLst>
              <c:ext xmlns:c16="http://schemas.microsoft.com/office/drawing/2014/chart" uri="{C3380CC4-5D6E-409C-BE32-E72D297353CC}">
                <c16:uniqueId val="{00000009-D282-4C99-A7DC-E1E1C5A9F37F}"/>
              </c:ext>
            </c:extLst>
          </c:dPt>
          <c:dPt>
            <c:idx val="5"/>
            <c:bubble3D val="0"/>
            <c:spPr>
              <a:solidFill>
                <a:schemeClr val="accent6"/>
              </a:solidFill>
              <a:ln>
                <a:noFill/>
              </a:ln>
              <a:effectLst/>
            </c:spPr>
            <c:extLst>
              <c:ext xmlns:c16="http://schemas.microsoft.com/office/drawing/2014/chart" uri="{C3380CC4-5D6E-409C-BE32-E72D297353CC}">
                <c16:uniqueId val="{0000000B-D282-4C99-A7DC-E1E1C5A9F37F}"/>
              </c:ext>
            </c:extLst>
          </c:dPt>
          <c:dLbls>
            <c:dLbl>
              <c:idx val="0"/>
              <c:layout>
                <c:manualLayout>
                  <c:x val="8.9348619418098268E-2"/>
                  <c:y val="-6.3703667330103533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D282-4C99-A7DC-E1E1C5A9F37F}"/>
                </c:ext>
              </c:extLst>
            </c:dLbl>
            <c:dLbl>
              <c:idx val="3"/>
              <c:layout>
                <c:manualLayout>
                  <c:x val="-0.17018784651066338"/>
                  <c:y val="-4.693954434849734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D282-4C99-A7DC-E1E1C5A9F37F}"/>
                </c:ext>
              </c:extLst>
            </c:dLbl>
            <c:dLbl>
              <c:idx val="4"/>
              <c:layout>
                <c:manualLayout>
                  <c:x val="-0.10211270790639802"/>
                  <c:y val="-8.3820614908030985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D282-4C99-A7DC-E1E1C5A9F37F}"/>
                </c:ext>
              </c:extLst>
            </c:dLbl>
            <c:dLbl>
              <c:idx val="5"/>
              <c:layout>
                <c:manualLayout>
                  <c:x val="-3.8292265464899257E-2"/>
                  <c:y val="-0.10058473788963716"/>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D282-4C99-A7DC-E1E1C5A9F37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BOQ!$E$68:$E$73</c:f>
              <c:strCache>
                <c:ptCount val="6"/>
                <c:pt idx="0">
                  <c:v>Earth Works</c:v>
                </c:pt>
                <c:pt idx="1">
                  <c:v>Concrete Works</c:v>
                </c:pt>
                <c:pt idx="2">
                  <c:v>Finishing Works</c:v>
                </c:pt>
                <c:pt idx="3">
                  <c:v>Plumbing Works</c:v>
                </c:pt>
                <c:pt idx="4">
                  <c:v>Electrical Works</c:v>
                </c:pt>
                <c:pt idx="5">
                  <c:v>Site Layout</c:v>
                </c:pt>
              </c:strCache>
            </c:strRef>
          </c:cat>
          <c:val>
            <c:numRef>
              <c:f>BOQ!$G$68:$G$73</c:f>
              <c:numCache>
                <c:formatCode>0.00%</c:formatCode>
                <c:ptCount val="6"/>
                <c:pt idx="0">
                  <c:v>2.8854896776639612E-2</c:v>
                </c:pt>
                <c:pt idx="1">
                  <c:v>0.53768368035101355</c:v>
                </c:pt>
                <c:pt idx="2">
                  <c:v>0.2673856744544531</c:v>
                </c:pt>
                <c:pt idx="3">
                  <c:v>7.1002857849051179E-2</c:v>
                </c:pt>
                <c:pt idx="4">
                  <c:v>3.4913786010104329E-2</c:v>
                </c:pt>
                <c:pt idx="5">
                  <c:v>6.0159104558738172E-2</c:v>
                </c:pt>
              </c:numCache>
            </c:numRef>
          </c:val>
          <c:extLst>
            <c:ext xmlns:c16="http://schemas.microsoft.com/office/drawing/2014/chart" uri="{C3380CC4-5D6E-409C-BE32-E72D297353CC}">
              <c16:uniqueId val="{0000000C-D282-4C99-A7DC-E1E1C5A9F37F}"/>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b"/>
      <c:layout>
        <c:manualLayout>
          <c:xMode val="edge"/>
          <c:yMode val="edge"/>
          <c:x val="7.8302712160980409E-4"/>
          <c:y val="0.82298377641379206"/>
          <c:w val="0.99843394575678035"/>
          <c:h val="0.1539898998445572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2255466530248247E-2"/>
          <c:y val="2.9371877230549594E-2"/>
          <c:w val="0.90164854283469176"/>
          <c:h val="0.8778850315016834"/>
        </c:manualLayout>
      </c:layout>
      <c:barChart>
        <c:barDir val="col"/>
        <c:grouping val="clustered"/>
        <c:varyColors val="0"/>
        <c:ser>
          <c:idx val="0"/>
          <c:order val="0"/>
          <c:tx>
            <c:strRef>
              <c:f>Dashboard!$AD$35</c:f>
              <c:strCache>
                <c:ptCount val="1"/>
                <c:pt idx="0">
                  <c:v>Planned </c:v>
                </c:pt>
              </c:strCache>
            </c:strRef>
          </c:tx>
          <c:spPr>
            <a:solidFill>
              <a:srgbClr val="002060"/>
            </a:solidFill>
            <a:ln w="28575">
              <a:solidFill>
                <a:srgbClr val="C00000"/>
              </a:solidFill>
            </a:ln>
            <a:effectLst/>
          </c:spPr>
          <c:invertIfNegative val="0"/>
          <c:dLbls>
            <c:numFmt formatCode="#,##0.00" sourceLinked="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Dashboard!$AC$36:$AC$47</c:f>
              <c:numCache>
                <c:formatCode>mmm\-yyyy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Dashboard!$AD$36:$AD$47</c:f>
              <c:numCache>
                <c:formatCode>#,##0</c:formatCode>
                <c:ptCount val="12"/>
                <c:pt idx="0">
                  <c:v>1719152</c:v>
                </c:pt>
                <c:pt idx="1">
                  <c:v>4343831</c:v>
                </c:pt>
                <c:pt idx="2">
                  <c:v>2167916</c:v>
                </c:pt>
                <c:pt idx="3">
                  <c:v>2486578</c:v>
                </c:pt>
                <c:pt idx="4">
                  <c:v>2567802</c:v>
                </c:pt>
                <c:pt idx="5">
                  <c:v>2185897</c:v>
                </c:pt>
                <c:pt idx="6">
                  <c:v>2197887</c:v>
                </c:pt>
                <c:pt idx="7">
                  <c:v>2837977</c:v>
                </c:pt>
                <c:pt idx="8">
                  <c:v>2327053</c:v>
                </c:pt>
                <c:pt idx="9">
                  <c:v>2511091</c:v>
                </c:pt>
                <c:pt idx="10">
                  <c:v>4095826</c:v>
                </c:pt>
                <c:pt idx="11">
                  <c:v>1853504</c:v>
                </c:pt>
              </c:numCache>
            </c:numRef>
          </c:val>
          <c:extLst>
            <c:ext xmlns:c16="http://schemas.microsoft.com/office/drawing/2014/chart" uri="{C3380CC4-5D6E-409C-BE32-E72D297353CC}">
              <c16:uniqueId val="{00000000-1DCC-43C7-A706-79C61F8D696F}"/>
            </c:ext>
          </c:extLst>
        </c:ser>
        <c:ser>
          <c:idx val="1"/>
          <c:order val="1"/>
          <c:tx>
            <c:strRef>
              <c:f>Dashboard!$AE$35</c:f>
              <c:strCache>
                <c:ptCount val="1"/>
                <c:pt idx="0">
                  <c:v>Actual</c:v>
                </c:pt>
              </c:strCache>
            </c:strRef>
          </c:tx>
          <c:spPr>
            <a:solidFill>
              <a:srgbClr val="FF0000"/>
            </a:solidFill>
            <a:ln>
              <a:solidFill>
                <a:srgbClr val="FF0000"/>
              </a:solidFill>
            </a:ln>
            <a:effectLst/>
          </c:spPr>
          <c:invertIfNegative val="0"/>
          <c:dLbls>
            <c:dLbl>
              <c:idx val="0"/>
              <c:layout>
                <c:manualLayout>
                  <c:x val="7.5792718084594195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26ED-4E83-878B-F008830985AC}"/>
                </c:ext>
              </c:extLst>
            </c:dLbl>
            <c:numFmt formatCode="#,##0.00" sourceLinked="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Dashboard!$AE$36:$AE$46</c:f>
              <c:numCache>
                <c:formatCode>#,##0</c:formatCode>
                <c:ptCount val="11"/>
                <c:pt idx="0">
                  <c:v>1450000</c:v>
                </c:pt>
                <c:pt idx="1">
                  <c:v>972785</c:v>
                </c:pt>
              </c:numCache>
            </c:numRef>
          </c:val>
          <c:extLst>
            <c:ext xmlns:c16="http://schemas.microsoft.com/office/drawing/2014/chart" uri="{C3380CC4-5D6E-409C-BE32-E72D297353CC}">
              <c16:uniqueId val="{00000003-26ED-4E83-878B-F008830985AC}"/>
            </c:ext>
          </c:extLst>
        </c:ser>
        <c:dLbls>
          <c:showLegendKey val="0"/>
          <c:showVal val="0"/>
          <c:showCatName val="0"/>
          <c:showSerName val="0"/>
          <c:showPercent val="0"/>
          <c:showBubbleSize val="0"/>
        </c:dLbls>
        <c:gapWidth val="219"/>
        <c:overlap val="-27"/>
        <c:axId val="842328415"/>
        <c:axId val="842333823"/>
      </c:barChart>
      <c:dateAx>
        <c:axId val="842328415"/>
        <c:scaling>
          <c:orientation val="minMax"/>
        </c:scaling>
        <c:delete val="0"/>
        <c:axPos val="b"/>
        <c:numFmt formatCode="mmm\-yyyy" sourceLinked="1"/>
        <c:majorTickMark val="in"/>
        <c:minorTickMark val="in"/>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ysClr val="windowText" lastClr="000000"/>
                </a:solidFill>
                <a:latin typeface="+mn-lt"/>
                <a:ea typeface="+mn-ea"/>
                <a:cs typeface="+mn-cs"/>
              </a:defRPr>
            </a:pPr>
            <a:endParaRPr lang="en-US"/>
          </a:p>
        </c:txPr>
        <c:crossAx val="842333823"/>
        <c:crosses val="autoZero"/>
        <c:auto val="1"/>
        <c:lblOffset val="100"/>
        <c:baseTimeUnit val="months"/>
      </c:dateAx>
      <c:valAx>
        <c:axId val="8423338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in"/>
        <c:minorTickMark val="in"/>
        <c:tickLblPos val="nextTo"/>
        <c:spPr>
          <a:noFill/>
          <a:ln>
            <a:solidFill>
              <a:srgbClr val="C00000"/>
            </a:solidFill>
          </a:ln>
          <a:effectLst/>
        </c:spPr>
        <c:txPr>
          <a:bodyPr rot="-60000000" spcFirstLastPara="1" vertOverflow="ellipsis" vert="horz" wrap="square" anchor="ctr" anchorCtr="1"/>
          <a:lstStyle/>
          <a:p>
            <a:pPr algn="ctr">
              <a:defRPr lang="en-US" sz="1400" b="1" i="0" u="none" strike="noStrike" kern="1200" baseline="0">
                <a:solidFill>
                  <a:sysClr val="windowText" lastClr="000000"/>
                </a:solidFill>
                <a:latin typeface="+mn-lt"/>
                <a:ea typeface="+mn-ea"/>
                <a:cs typeface="+mn-cs"/>
              </a:defRPr>
            </a:pPr>
            <a:endParaRPr lang="en-US"/>
          </a:p>
        </c:txPr>
        <c:crossAx val="842328415"/>
        <c:crosses val="autoZero"/>
        <c:crossBetween val="between"/>
        <c:dispUnits>
          <c:builtInUnit val="millions"/>
          <c:dispUnitsLbl>
            <c:layout>
              <c:manualLayout>
                <c:xMode val="edge"/>
                <c:yMode val="edge"/>
                <c:x val="8.7796312554872698E-3"/>
                <c:y val="4.0078515346181294E-2"/>
              </c:manualLayout>
            </c:layout>
            <c:spPr>
              <a:noFill/>
              <a:ln>
                <a:noFill/>
              </a:ln>
              <a:effectLst/>
            </c:spPr>
            <c:txPr>
              <a:bodyPr rot="-54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ispUnitsLbl>
        </c:dispUnits>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148097019951101E-4"/>
          <c:y val="0"/>
          <c:w val="0.83793709061478616"/>
          <c:h val="1"/>
        </c:manualLayout>
      </c:layout>
      <c:doughnutChart>
        <c:varyColors val="1"/>
        <c:dLbls>
          <c:showLegendKey val="0"/>
          <c:showVal val="0"/>
          <c:showCatName val="0"/>
          <c:showSerName val="0"/>
          <c:showPercent val="0"/>
          <c:showBubbleSize val="0"/>
          <c:showLeaderLines val="0"/>
        </c:dLbls>
        <c:firstSliceAng val="27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3</xdr:col>
      <xdr:colOff>1055114</xdr:colOff>
      <xdr:row>0</xdr:row>
      <xdr:rowOff>0</xdr:rowOff>
    </xdr:from>
    <xdr:to>
      <xdr:col>5</xdr:col>
      <xdr:colOff>479234</xdr:colOff>
      <xdr:row>19</xdr:row>
      <xdr:rowOff>136715</xdr:rowOff>
    </xdr:to>
    <xdr:pic>
      <xdr:nvPicPr>
        <xdr:cNvPr id="10" name="Picture 9">
          <a:extLst>
            <a:ext uri="{FF2B5EF4-FFF2-40B4-BE49-F238E27FC236}">
              <a16:creationId xmlns:a16="http://schemas.microsoft.com/office/drawing/2014/main" id="{9B4A8936-D245-6892-A31C-8ACDD8DF20C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5520" r="24350"/>
        <a:stretch/>
      </xdr:blipFill>
      <xdr:spPr>
        <a:xfrm>
          <a:off x="3762219" y="0"/>
          <a:ext cx="4156541" cy="38945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10</xdr:row>
      <xdr:rowOff>117720</xdr:rowOff>
    </xdr:from>
    <xdr:to>
      <xdr:col>5</xdr:col>
      <xdr:colOff>0</xdr:colOff>
      <xdr:row>16</xdr:row>
      <xdr:rowOff>66261</xdr:rowOff>
    </xdr:to>
    <xdr:graphicFrame macro="">
      <xdr:nvGraphicFramePr>
        <xdr:cNvPr id="31" name="Chart 30">
          <a:extLst>
            <a:ext uri="{FF2B5EF4-FFF2-40B4-BE49-F238E27FC236}">
              <a16:creationId xmlns:a16="http://schemas.microsoft.com/office/drawing/2014/main" id="{206DF8E9-E933-6C67-3687-57A48B7A6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32656</xdr:colOff>
      <xdr:row>10</xdr:row>
      <xdr:rowOff>65314</xdr:rowOff>
    </xdr:from>
    <xdr:to>
      <xdr:col>7</xdr:col>
      <xdr:colOff>674913</xdr:colOff>
      <xdr:row>17</xdr:row>
      <xdr:rowOff>0</xdr:rowOff>
    </xdr:to>
    <xdr:graphicFrame macro="">
      <xdr:nvGraphicFramePr>
        <xdr:cNvPr id="6" name="Chart 5">
          <a:extLst>
            <a:ext uri="{FF2B5EF4-FFF2-40B4-BE49-F238E27FC236}">
              <a16:creationId xmlns:a16="http://schemas.microsoft.com/office/drawing/2014/main" id="{C4795F1F-CF39-D3EC-A2EB-32E959BA9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10885</xdr:colOff>
      <xdr:row>10</xdr:row>
      <xdr:rowOff>21771</xdr:rowOff>
    </xdr:from>
    <xdr:to>
      <xdr:col>11</xdr:col>
      <xdr:colOff>653142</xdr:colOff>
      <xdr:row>17</xdr:row>
      <xdr:rowOff>0</xdr:rowOff>
    </xdr:to>
    <xdr:graphicFrame macro="">
      <xdr:nvGraphicFramePr>
        <xdr:cNvPr id="8" name="Chart 7">
          <a:extLst>
            <a:ext uri="{FF2B5EF4-FFF2-40B4-BE49-F238E27FC236}">
              <a16:creationId xmlns:a16="http://schemas.microsoft.com/office/drawing/2014/main" id="{BC92B3AA-04CD-B6D1-301E-3038E55FD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424542</xdr:colOff>
      <xdr:row>10</xdr:row>
      <xdr:rowOff>163285</xdr:rowOff>
    </xdr:from>
    <xdr:to>
      <xdr:col>15</xdr:col>
      <xdr:colOff>664028</xdr:colOff>
      <xdr:row>16</xdr:row>
      <xdr:rowOff>65313</xdr:rowOff>
    </xdr:to>
    <xdr:sp macro="" textlink="">
      <xdr:nvSpPr>
        <xdr:cNvPr id="2" name="Arrow: Down 1">
          <a:extLst>
            <a:ext uri="{FF2B5EF4-FFF2-40B4-BE49-F238E27FC236}">
              <a16:creationId xmlns:a16="http://schemas.microsoft.com/office/drawing/2014/main" id="{22559823-445F-4469-000D-8E9BDC26DCE0}"/>
            </a:ext>
          </a:extLst>
        </xdr:cNvPr>
        <xdr:cNvSpPr/>
      </xdr:nvSpPr>
      <xdr:spPr>
        <a:xfrm>
          <a:off x="9612085" y="2906485"/>
          <a:ext cx="914400" cy="1556657"/>
        </a:xfrm>
        <a:prstGeom prst="down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261257</xdr:colOff>
      <xdr:row>10</xdr:row>
      <xdr:rowOff>157842</xdr:rowOff>
    </xdr:from>
    <xdr:to>
      <xdr:col>19</xdr:col>
      <xdr:colOff>609600</xdr:colOff>
      <xdr:row>17</xdr:row>
      <xdr:rowOff>0</xdr:rowOff>
    </xdr:to>
    <xdr:graphicFrame macro="">
      <xdr:nvGraphicFramePr>
        <xdr:cNvPr id="5" name="Chart 4">
          <a:extLst>
            <a:ext uri="{FF2B5EF4-FFF2-40B4-BE49-F238E27FC236}">
              <a16:creationId xmlns:a16="http://schemas.microsoft.com/office/drawing/2014/main" id="{3F5C72D0-5A7E-A6D8-6852-A70641EA86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17</xdr:row>
      <xdr:rowOff>0</xdr:rowOff>
    </xdr:from>
    <xdr:to>
      <xdr:col>15</xdr:col>
      <xdr:colOff>0</xdr:colOff>
      <xdr:row>30</xdr:row>
      <xdr:rowOff>0</xdr:rowOff>
    </xdr:to>
    <xdr:graphicFrame macro="">
      <xdr:nvGraphicFramePr>
        <xdr:cNvPr id="15" name="Chart 14">
          <a:extLst>
            <a:ext uri="{FF2B5EF4-FFF2-40B4-BE49-F238E27FC236}">
              <a16:creationId xmlns:a16="http://schemas.microsoft.com/office/drawing/2014/main" id="{C6786278-F1F1-1AFC-55D6-0370B7DBF5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43542</xdr:colOff>
      <xdr:row>16</xdr:row>
      <xdr:rowOff>228600</xdr:rowOff>
    </xdr:from>
    <xdr:to>
      <xdr:col>20</xdr:col>
      <xdr:colOff>43542</xdr:colOff>
      <xdr:row>29</xdr:row>
      <xdr:rowOff>195941</xdr:rowOff>
    </xdr:to>
    <xdr:graphicFrame macro="">
      <xdr:nvGraphicFramePr>
        <xdr:cNvPr id="16" name="Chart 15">
          <a:extLst>
            <a:ext uri="{FF2B5EF4-FFF2-40B4-BE49-F238E27FC236}">
              <a16:creationId xmlns:a16="http://schemas.microsoft.com/office/drawing/2014/main" id="{1B20263B-D2B2-4058-B0A3-7B084E385B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5441</xdr:colOff>
      <xdr:row>31</xdr:row>
      <xdr:rowOff>0</xdr:rowOff>
    </xdr:from>
    <xdr:to>
      <xdr:col>20</xdr:col>
      <xdr:colOff>0</xdr:colOff>
      <xdr:row>46</xdr:row>
      <xdr:rowOff>0</xdr:rowOff>
    </xdr:to>
    <xdr:graphicFrame macro="">
      <xdr:nvGraphicFramePr>
        <xdr:cNvPr id="18" name="Chart 17">
          <a:extLst>
            <a:ext uri="{FF2B5EF4-FFF2-40B4-BE49-F238E27FC236}">
              <a16:creationId xmlns:a16="http://schemas.microsoft.com/office/drawing/2014/main" id="{1982F44D-D7C3-F3F5-205A-B27B2B7E1D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0</xdr:colOff>
      <xdr:row>10</xdr:row>
      <xdr:rowOff>5255</xdr:rowOff>
    </xdr:from>
    <xdr:to>
      <xdr:col>4</xdr:col>
      <xdr:colOff>0</xdr:colOff>
      <xdr:row>15</xdr:row>
      <xdr:rowOff>218840</xdr:rowOff>
    </xdr:to>
    <xdr:graphicFrame macro="">
      <xdr:nvGraphicFramePr>
        <xdr:cNvPr id="30" name="Chart 29">
          <a:extLst>
            <a:ext uri="{FF2B5EF4-FFF2-40B4-BE49-F238E27FC236}">
              <a16:creationId xmlns:a16="http://schemas.microsoft.com/office/drawing/2014/main" id="{3D363033-C27F-4C39-E8A1-DB3B3152C4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15</xdr:col>
      <xdr:colOff>672353</xdr:colOff>
      <xdr:row>1</xdr:row>
      <xdr:rowOff>313764</xdr:rowOff>
    </xdr:from>
    <xdr:to>
      <xdr:col>20</xdr:col>
      <xdr:colOff>89647</xdr:colOff>
      <xdr:row>8</xdr:row>
      <xdr:rowOff>268941</xdr:rowOff>
    </xdr:to>
    <xdr:pic>
      <xdr:nvPicPr>
        <xdr:cNvPr id="4" name="Picture 3"/>
        <xdr:cNvPicPr>
          <a:picLocks noChangeAspect="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9592235" y="582705"/>
          <a:ext cx="2420471" cy="242047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1"/>
  <sheetViews>
    <sheetView view="pageBreakPreview" zoomScale="115" zoomScaleNormal="115" zoomScaleSheetLayoutView="115" workbookViewId="0">
      <selection activeCell="D2" sqref="D2"/>
    </sheetView>
  </sheetViews>
  <sheetFormatPr defaultColWidth="8.85546875" defaultRowHeight="15" x14ac:dyDescent="0.25"/>
  <cols>
    <col min="1" max="1" width="8.28515625" style="1" customWidth="1"/>
    <col min="2" max="2" width="58.28515625" style="9" customWidth="1"/>
    <col min="3" max="3" width="14.28515625" style="16" customWidth="1"/>
    <col min="4" max="6" width="14.28515625" style="1" customWidth="1"/>
    <col min="7" max="7" width="8.85546875" style="1"/>
    <col min="8" max="8" width="8.85546875" style="10"/>
    <col min="9" max="16384" width="8.85546875" style="1"/>
  </cols>
  <sheetData>
    <row r="1" spans="1:6" x14ac:dyDescent="0.25">
      <c r="A1" s="82"/>
      <c r="B1" s="83"/>
      <c r="C1" s="84"/>
      <c r="D1" s="82"/>
      <c r="E1" s="82"/>
      <c r="F1" s="82"/>
    </row>
    <row r="2" spans="1:6" ht="15.75" x14ac:dyDescent="0.25">
      <c r="A2" s="82"/>
      <c r="B2" s="83"/>
      <c r="C2" s="84"/>
      <c r="D2" s="54"/>
      <c r="E2" s="82"/>
      <c r="F2" s="82"/>
    </row>
    <row r="3" spans="1:6" x14ac:dyDescent="0.25">
      <c r="A3" s="82"/>
      <c r="B3" s="83"/>
      <c r="C3" s="84"/>
      <c r="D3" s="82"/>
      <c r="E3" s="82"/>
      <c r="F3" s="82"/>
    </row>
    <row r="4" spans="1:6" x14ac:dyDescent="0.25">
      <c r="A4" s="82"/>
      <c r="B4" s="83"/>
      <c r="C4" s="84"/>
      <c r="D4" s="82"/>
      <c r="E4" s="82"/>
      <c r="F4" s="82"/>
    </row>
    <row r="5" spans="1:6" x14ac:dyDescent="0.25">
      <c r="A5" s="82"/>
      <c r="B5" s="83"/>
      <c r="C5" s="84"/>
      <c r="D5" s="82"/>
      <c r="E5" s="82"/>
      <c r="F5" s="82"/>
    </row>
    <row r="6" spans="1:6" x14ac:dyDescent="0.25">
      <c r="A6" s="82"/>
      <c r="B6" s="83"/>
      <c r="C6" s="84"/>
      <c r="D6" s="82"/>
      <c r="E6" s="82"/>
      <c r="F6" s="82"/>
    </row>
    <row r="7" spans="1:6" ht="15.75" thickBot="1" x14ac:dyDescent="0.3">
      <c r="A7" s="82"/>
      <c r="B7" s="83"/>
      <c r="C7" s="84"/>
      <c r="D7" s="82"/>
      <c r="E7" s="82"/>
      <c r="F7" s="82"/>
    </row>
    <row r="8" spans="1:6" ht="16.5" thickBot="1" x14ac:dyDescent="0.3">
      <c r="A8" s="47" t="s">
        <v>0</v>
      </c>
      <c r="B8" s="48" t="s">
        <v>1</v>
      </c>
      <c r="C8" s="48" t="s">
        <v>2</v>
      </c>
      <c r="D8" s="49" t="s">
        <v>3</v>
      </c>
      <c r="E8" s="50" t="s">
        <v>4</v>
      </c>
      <c r="F8" s="51" t="s">
        <v>5</v>
      </c>
    </row>
    <row r="9" spans="1:6" ht="16.5" thickBot="1" x14ac:dyDescent="0.3">
      <c r="A9" s="14" t="s">
        <v>33</v>
      </c>
      <c r="B9" s="15" t="s">
        <v>7</v>
      </c>
      <c r="C9" s="17"/>
      <c r="D9" s="20"/>
      <c r="E9" s="20"/>
      <c r="F9" s="21"/>
    </row>
    <row r="10" spans="1:6" ht="63" x14ac:dyDescent="0.25">
      <c r="A10" s="12" t="s">
        <v>84</v>
      </c>
      <c r="B10" s="13" t="s">
        <v>47</v>
      </c>
      <c r="C10" s="28" t="s">
        <v>120</v>
      </c>
      <c r="D10" s="30">
        <v>4200</v>
      </c>
      <c r="E10" s="31">
        <v>85</v>
      </c>
      <c r="F10" s="32">
        <f>E10*D10</f>
        <v>357000</v>
      </c>
    </row>
    <row r="11" spans="1:6" ht="48" thickBot="1" x14ac:dyDescent="0.3">
      <c r="A11" s="3" t="s">
        <v>85</v>
      </c>
      <c r="B11" s="5" t="s">
        <v>48</v>
      </c>
      <c r="C11" s="29" t="s">
        <v>120</v>
      </c>
      <c r="D11" s="33">
        <v>2600</v>
      </c>
      <c r="E11" s="26">
        <v>210</v>
      </c>
      <c r="F11" s="27">
        <f>E11*D11</f>
        <v>546000</v>
      </c>
    </row>
    <row r="12" spans="1:6" ht="16.5" thickBot="1" x14ac:dyDescent="0.3">
      <c r="A12" s="14" t="s">
        <v>34</v>
      </c>
      <c r="B12" s="15" t="s">
        <v>6</v>
      </c>
      <c r="C12" s="17"/>
      <c r="D12" s="20"/>
      <c r="E12" s="20"/>
      <c r="F12" s="21"/>
    </row>
    <row r="13" spans="1:6" ht="31.5" x14ac:dyDescent="0.25">
      <c r="A13" s="3" t="s">
        <v>86</v>
      </c>
      <c r="B13" s="5" t="s">
        <v>49</v>
      </c>
      <c r="C13" s="29" t="s">
        <v>120</v>
      </c>
      <c r="D13" s="35">
        <v>450</v>
      </c>
      <c r="E13" s="36">
        <v>3510</v>
      </c>
      <c r="F13" s="37">
        <f t="shared" ref="F13:F18" si="0">E13*D13</f>
        <v>1579500</v>
      </c>
    </row>
    <row r="14" spans="1:6" ht="31.5" x14ac:dyDescent="0.25">
      <c r="A14" s="2" t="s">
        <v>87</v>
      </c>
      <c r="B14" s="4" t="s">
        <v>50</v>
      </c>
      <c r="C14" s="34" t="s">
        <v>121</v>
      </c>
      <c r="D14" s="38">
        <v>850</v>
      </c>
      <c r="E14" s="24">
        <v>500</v>
      </c>
      <c r="F14" s="25">
        <f t="shared" si="0"/>
        <v>425000</v>
      </c>
    </row>
    <row r="15" spans="1:6" ht="47.25" x14ac:dyDescent="0.25">
      <c r="A15" s="3" t="s">
        <v>88</v>
      </c>
      <c r="B15" s="5" t="s">
        <v>51</v>
      </c>
      <c r="C15" s="29" t="s">
        <v>121</v>
      </c>
      <c r="D15" s="39">
        <v>780</v>
      </c>
      <c r="E15" s="22">
        <v>735</v>
      </c>
      <c r="F15" s="23">
        <f t="shared" si="0"/>
        <v>573300</v>
      </c>
    </row>
    <row r="16" spans="1:6" ht="47.25" x14ac:dyDescent="0.25">
      <c r="A16" s="2" t="s">
        <v>89</v>
      </c>
      <c r="B16" s="4" t="s">
        <v>52</v>
      </c>
      <c r="C16" s="34" t="s">
        <v>120</v>
      </c>
      <c r="D16" s="38">
        <v>600</v>
      </c>
      <c r="E16" s="24">
        <v>4850</v>
      </c>
      <c r="F16" s="25">
        <f t="shared" si="0"/>
        <v>2910000</v>
      </c>
    </row>
    <row r="17" spans="1:8" ht="47.25" x14ac:dyDescent="0.25">
      <c r="A17" s="2" t="s">
        <v>90</v>
      </c>
      <c r="B17" s="4" t="s">
        <v>70</v>
      </c>
      <c r="C17" s="34" t="s">
        <v>120</v>
      </c>
      <c r="D17" s="38">
        <v>1350</v>
      </c>
      <c r="E17" s="24">
        <v>5125</v>
      </c>
      <c r="F17" s="25">
        <f t="shared" si="0"/>
        <v>6918750</v>
      </c>
    </row>
    <row r="18" spans="1:8" ht="48" thickBot="1" x14ac:dyDescent="0.3">
      <c r="A18" s="3" t="s">
        <v>91</v>
      </c>
      <c r="B18" s="5" t="s">
        <v>53</v>
      </c>
      <c r="C18" s="29" t="s">
        <v>120</v>
      </c>
      <c r="D18" s="33">
        <v>850</v>
      </c>
      <c r="E18" s="26">
        <v>5200</v>
      </c>
      <c r="F18" s="27">
        <f t="shared" si="0"/>
        <v>4420000</v>
      </c>
      <c r="H18" s="81"/>
    </row>
    <row r="19" spans="1:8" ht="16.5" thickBot="1" x14ac:dyDescent="0.3">
      <c r="A19" s="14" t="s">
        <v>35</v>
      </c>
      <c r="B19" s="15" t="s">
        <v>8</v>
      </c>
      <c r="C19" s="17"/>
      <c r="D19" s="20"/>
      <c r="E19" s="20"/>
      <c r="F19" s="21"/>
    </row>
    <row r="20" spans="1:8" ht="47.25" x14ac:dyDescent="0.25">
      <c r="A20" s="2" t="s">
        <v>92</v>
      </c>
      <c r="B20" s="4" t="s">
        <v>54</v>
      </c>
      <c r="C20" s="34" t="s">
        <v>121</v>
      </c>
      <c r="D20" s="30">
        <v>450</v>
      </c>
      <c r="E20" s="31">
        <v>420</v>
      </c>
      <c r="F20" s="32">
        <f>E20*D20</f>
        <v>189000</v>
      </c>
    </row>
    <row r="21" spans="1:8" ht="47.25" x14ac:dyDescent="0.25">
      <c r="A21" s="3" t="s">
        <v>93</v>
      </c>
      <c r="B21" s="5" t="s">
        <v>55</v>
      </c>
      <c r="C21" s="29" t="s">
        <v>121</v>
      </c>
      <c r="D21" s="39">
        <v>850</v>
      </c>
      <c r="E21" s="22">
        <v>420</v>
      </c>
      <c r="F21" s="23">
        <f>E21*D21</f>
        <v>357000</v>
      </c>
    </row>
    <row r="22" spans="1:8" ht="48" thickBot="1" x14ac:dyDescent="0.3">
      <c r="A22" s="2" t="s">
        <v>94</v>
      </c>
      <c r="B22" s="4" t="s">
        <v>56</v>
      </c>
      <c r="C22" s="34" t="s">
        <v>121</v>
      </c>
      <c r="D22" s="40">
        <v>1115</v>
      </c>
      <c r="E22" s="41">
        <v>115</v>
      </c>
      <c r="F22" s="42">
        <f>E22*D22</f>
        <v>128225</v>
      </c>
    </row>
    <row r="23" spans="1:8" ht="16.5" thickBot="1" x14ac:dyDescent="0.3">
      <c r="A23" s="14" t="s">
        <v>36</v>
      </c>
      <c r="B23" s="15" t="s">
        <v>9</v>
      </c>
      <c r="C23" s="17"/>
      <c r="D23" s="20"/>
      <c r="E23" s="20"/>
      <c r="F23" s="21"/>
    </row>
    <row r="24" spans="1:8" ht="32.25" thickBot="1" x14ac:dyDescent="0.3">
      <c r="A24" s="2" t="s">
        <v>95</v>
      </c>
      <c r="B24" s="4" t="s">
        <v>57</v>
      </c>
      <c r="C24" s="34" t="s">
        <v>121</v>
      </c>
      <c r="D24" s="43">
        <v>850</v>
      </c>
      <c r="E24" s="44">
        <v>400</v>
      </c>
      <c r="F24" s="45">
        <f>E24*D24</f>
        <v>340000</v>
      </c>
    </row>
    <row r="25" spans="1:8" ht="16.5" thickBot="1" x14ac:dyDescent="0.3">
      <c r="A25" s="14" t="s">
        <v>37</v>
      </c>
      <c r="B25" s="15" t="s">
        <v>10</v>
      </c>
      <c r="C25" s="17"/>
      <c r="D25" s="20"/>
      <c r="E25" s="20"/>
      <c r="F25" s="21"/>
    </row>
    <row r="26" spans="1:8" ht="47.25" x14ac:dyDescent="0.25">
      <c r="A26" s="2" t="s">
        <v>96</v>
      </c>
      <c r="B26" s="4" t="s">
        <v>58</v>
      </c>
      <c r="C26" s="34" t="s">
        <v>120</v>
      </c>
      <c r="D26" s="30">
        <v>388</v>
      </c>
      <c r="E26" s="31">
        <v>1025</v>
      </c>
      <c r="F26" s="32">
        <f>D26*E26</f>
        <v>397700</v>
      </c>
    </row>
    <row r="27" spans="1:8" ht="47.25" x14ac:dyDescent="0.25">
      <c r="A27" s="3" t="s">
        <v>97</v>
      </c>
      <c r="B27" s="5" t="s">
        <v>59</v>
      </c>
      <c r="C27" s="29" t="s">
        <v>120</v>
      </c>
      <c r="D27" s="39">
        <v>980</v>
      </c>
      <c r="E27" s="22">
        <v>1025</v>
      </c>
      <c r="F27" s="23">
        <f t="shared" ref="F27:F65" si="1">D27*E27</f>
        <v>1004500</v>
      </c>
    </row>
    <row r="28" spans="1:8" ht="32.25" thickBot="1" x14ac:dyDescent="0.3">
      <c r="A28" s="2" t="s">
        <v>98</v>
      </c>
      <c r="B28" s="4" t="s">
        <v>46</v>
      </c>
      <c r="C28" s="34" t="s">
        <v>120</v>
      </c>
      <c r="D28" s="40">
        <v>196</v>
      </c>
      <c r="E28" s="41">
        <v>1125</v>
      </c>
      <c r="F28" s="42">
        <f t="shared" si="1"/>
        <v>220500</v>
      </c>
    </row>
    <row r="29" spans="1:8" ht="16.5" thickBot="1" x14ac:dyDescent="0.3">
      <c r="A29" s="14" t="s">
        <v>38</v>
      </c>
      <c r="B29" s="15" t="s">
        <v>11</v>
      </c>
      <c r="C29" s="17"/>
      <c r="D29" s="20"/>
      <c r="E29" s="20"/>
      <c r="F29" s="21"/>
    </row>
    <row r="30" spans="1:8" ht="31.5" x14ac:dyDescent="0.25">
      <c r="A30" s="2" t="s">
        <v>99</v>
      </c>
      <c r="B30" s="4" t="s">
        <v>60</v>
      </c>
      <c r="C30" s="34" t="s">
        <v>121</v>
      </c>
      <c r="D30" s="30">
        <v>18236</v>
      </c>
      <c r="E30" s="31">
        <v>85</v>
      </c>
      <c r="F30" s="32">
        <f t="shared" si="1"/>
        <v>1550060</v>
      </c>
    </row>
    <row r="31" spans="1:8" ht="48" thickBot="1" x14ac:dyDescent="0.3">
      <c r="A31" s="3" t="s">
        <v>100</v>
      </c>
      <c r="B31" s="5" t="s">
        <v>61</v>
      </c>
      <c r="C31" s="29" t="s">
        <v>121</v>
      </c>
      <c r="D31" s="33">
        <v>4125</v>
      </c>
      <c r="E31" s="26">
        <v>128</v>
      </c>
      <c r="F31" s="27">
        <f t="shared" si="1"/>
        <v>528000</v>
      </c>
    </row>
    <row r="32" spans="1:8" ht="16.5" thickBot="1" x14ac:dyDescent="0.3">
      <c r="A32" s="14" t="s">
        <v>39</v>
      </c>
      <c r="B32" s="15" t="s">
        <v>12</v>
      </c>
      <c r="C32" s="17"/>
      <c r="D32" s="20"/>
      <c r="E32" s="20"/>
      <c r="F32" s="21"/>
    </row>
    <row r="33" spans="1:6" ht="47.25" x14ac:dyDescent="0.25">
      <c r="A33" s="2" t="s">
        <v>101</v>
      </c>
      <c r="B33" s="4" t="s">
        <v>62</v>
      </c>
      <c r="C33" s="34" t="s">
        <v>121</v>
      </c>
      <c r="D33" s="30">
        <v>16358</v>
      </c>
      <c r="E33" s="31">
        <v>110</v>
      </c>
      <c r="F33" s="32">
        <f t="shared" si="1"/>
        <v>1799380</v>
      </c>
    </row>
    <row r="34" spans="1:6" ht="48" thickBot="1" x14ac:dyDescent="0.3">
      <c r="A34" s="3" t="s">
        <v>102</v>
      </c>
      <c r="B34" s="5" t="s">
        <v>63</v>
      </c>
      <c r="C34" s="29" t="s">
        <v>121</v>
      </c>
      <c r="D34" s="33">
        <v>3622</v>
      </c>
      <c r="E34" s="26">
        <v>200</v>
      </c>
      <c r="F34" s="27">
        <f t="shared" si="1"/>
        <v>724400</v>
      </c>
    </row>
    <row r="35" spans="1:6" ht="16.5" thickBot="1" x14ac:dyDescent="0.3">
      <c r="A35" s="14" t="s">
        <v>40</v>
      </c>
      <c r="B35" s="15" t="s">
        <v>13</v>
      </c>
      <c r="C35" s="17"/>
      <c r="D35" s="20"/>
      <c r="E35" s="20"/>
      <c r="F35" s="21"/>
    </row>
    <row r="36" spans="1:6" ht="47.25" x14ac:dyDescent="0.25">
      <c r="A36" s="2" t="s">
        <v>103</v>
      </c>
      <c r="B36" s="4" t="s">
        <v>71</v>
      </c>
      <c r="C36" s="34" t="s">
        <v>121</v>
      </c>
      <c r="D36" s="30">
        <v>680</v>
      </c>
      <c r="E36" s="31">
        <v>340</v>
      </c>
      <c r="F36" s="32">
        <f t="shared" si="1"/>
        <v>231200</v>
      </c>
    </row>
    <row r="37" spans="1:6" ht="31.5" x14ac:dyDescent="0.25">
      <c r="A37" s="3" t="s">
        <v>104</v>
      </c>
      <c r="B37" s="5" t="s">
        <v>64</v>
      </c>
      <c r="C37" s="29" t="s">
        <v>121</v>
      </c>
      <c r="D37" s="39">
        <v>1240</v>
      </c>
      <c r="E37" s="22">
        <v>165</v>
      </c>
      <c r="F37" s="23">
        <f t="shared" si="1"/>
        <v>204600</v>
      </c>
    </row>
    <row r="38" spans="1:6" ht="31.5" x14ac:dyDescent="0.25">
      <c r="A38" s="2" t="s">
        <v>105</v>
      </c>
      <c r="B38" s="4" t="s">
        <v>65</v>
      </c>
      <c r="C38" s="34" t="s">
        <v>121</v>
      </c>
      <c r="D38" s="38">
        <v>800</v>
      </c>
      <c r="E38" s="24">
        <v>165</v>
      </c>
      <c r="F38" s="25">
        <f t="shared" si="1"/>
        <v>132000</v>
      </c>
    </row>
    <row r="39" spans="1:6" ht="31.5" x14ac:dyDescent="0.25">
      <c r="A39" s="3" t="s">
        <v>106</v>
      </c>
      <c r="B39" s="5" t="s">
        <v>66</v>
      </c>
      <c r="C39" s="29" t="s">
        <v>121</v>
      </c>
      <c r="D39" s="39">
        <v>850</v>
      </c>
      <c r="E39" s="22">
        <v>74</v>
      </c>
      <c r="F39" s="23">
        <f t="shared" si="1"/>
        <v>62900</v>
      </c>
    </row>
    <row r="40" spans="1:6" ht="48" thickBot="1" x14ac:dyDescent="0.3">
      <c r="A40" s="2" t="s">
        <v>107</v>
      </c>
      <c r="B40" s="4" t="s">
        <v>67</v>
      </c>
      <c r="C40" s="34" t="s">
        <v>121</v>
      </c>
      <c r="D40" s="40">
        <v>126</v>
      </c>
      <c r="E40" s="41">
        <v>870</v>
      </c>
      <c r="F40" s="42">
        <f t="shared" si="1"/>
        <v>109620</v>
      </c>
    </row>
    <row r="41" spans="1:6" ht="16.5" thickBot="1" x14ac:dyDescent="0.3">
      <c r="A41" s="14" t="s">
        <v>41</v>
      </c>
      <c r="B41" s="15" t="s">
        <v>14</v>
      </c>
      <c r="C41" s="17"/>
      <c r="D41" s="20"/>
      <c r="E41" s="20"/>
      <c r="F41" s="21"/>
    </row>
    <row r="42" spans="1:6" ht="63" x14ac:dyDescent="0.25">
      <c r="A42" s="2" t="s">
        <v>108</v>
      </c>
      <c r="B42" s="4" t="s">
        <v>68</v>
      </c>
      <c r="C42" s="34" t="s">
        <v>17</v>
      </c>
      <c r="D42" s="30">
        <v>38</v>
      </c>
      <c r="E42" s="31">
        <v>3500</v>
      </c>
      <c r="F42" s="32">
        <f t="shared" si="1"/>
        <v>133000</v>
      </c>
    </row>
    <row r="43" spans="1:6" ht="63.75" thickBot="1" x14ac:dyDescent="0.3">
      <c r="A43" s="3" t="s">
        <v>109</v>
      </c>
      <c r="B43" s="5" t="s">
        <v>69</v>
      </c>
      <c r="C43" s="29" t="s">
        <v>17</v>
      </c>
      <c r="D43" s="33">
        <v>64</v>
      </c>
      <c r="E43" s="26">
        <v>2860</v>
      </c>
      <c r="F43" s="27">
        <f t="shared" si="1"/>
        <v>183040</v>
      </c>
    </row>
    <row r="44" spans="1:6" ht="16.5" thickBot="1" x14ac:dyDescent="0.3">
      <c r="A44" s="14" t="s">
        <v>42</v>
      </c>
      <c r="B44" s="15" t="s">
        <v>15</v>
      </c>
      <c r="C44" s="17"/>
      <c r="D44" s="20"/>
      <c r="E44" s="20"/>
      <c r="F44" s="21"/>
    </row>
    <row r="45" spans="1:6" ht="66" customHeight="1" x14ac:dyDescent="0.25">
      <c r="A45" s="2" t="s">
        <v>16</v>
      </c>
      <c r="B45" s="4" t="s">
        <v>122</v>
      </c>
      <c r="C45" s="34" t="s">
        <v>17</v>
      </c>
      <c r="D45" s="30">
        <v>8</v>
      </c>
      <c r="E45" s="31">
        <v>4500</v>
      </c>
      <c r="F45" s="32">
        <f t="shared" si="1"/>
        <v>36000</v>
      </c>
    </row>
    <row r="46" spans="1:6" ht="31.5" x14ac:dyDescent="0.25">
      <c r="A46" s="3" t="s">
        <v>18</v>
      </c>
      <c r="B46" s="5" t="s">
        <v>72</v>
      </c>
      <c r="C46" s="29" t="s">
        <v>17</v>
      </c>
      <c r="D46" s="39">
        <v>18</v>
      </c>
      <c r="E46" s="22">
        <v>1800</v>
      </c>
      <c r="F46" s="23">
        <f t="shared" si="1"/>
        <v>32400</v>
      </c>
    </row>
    <row r="47" spans="1:6" ht="32.25" thickBot="1" x14ac:dyDescent="0.3">
      <c r="A47" s="2" t="s">
        <v>19</v>
      </c>
      <c r="B47" s="4" t="s">
        <v>73</v>
      </c>
      <c r="C47" s="34" t="s">
        <v>123</v>
      </c>
      <c r="D47" s="40">
        <v>95</v>
      </c>
      <c r="E47" s="41">
        <v>44</v>
      </c>
      <c r="F47" s="42">
        <f t="shared" si="1"/>
        <v>4180</v>
      </c>
    </row>
    <row r="48" spans="1:6" ht="16.5" thickBot="1" x14ac:dyDescent="0.3">
      <c r="A48" s="14" t="s">
        <v>43</v>
      </c>
      <c r="B48" s="15" t="s">
        <v>31</v>
      </c>
      <c r="C48" s="17"/>
      <c r="D48" s="20"/>
      <c r="E48" s="20"/>
      <c r="F48" s="21"/>
    </row>
    <row r="49" spans="1:6" ht="15.75" x14ac:dyDescent="0.25">
      <c r="A49" s="2" t="s">
        <v>21</v>
      </c>
      <c r="B49" s="7" t="s">
        <v>79</v>
      </c>
      <c r="C49" s="34" t="s">
        <v>124</v>
      </c>
      <c r="D49" s="30">
        <v>1</v>
      </c>
      <c r="E49" s="31">
        <v>450000</v>
      </c>
      <c r="F49" s="32">
        <f t="shared" si="1"/>
        <v>450000</v>
      </c>
    </row>
    <row r="50" spans="1:6" ht="15.75" x14ac:dyDescent="0.25">
      <c r="A50" s="3" t="s">
        <v>22</v>
      </c>
      <c r="B50" s="8" t="s">
        <v>80</v>
      </c>
      <c r="C50" s="29" t="s">
        <v>124</v>
      </c>
      <c r="D50" s="39">
        <v>1</v>
      </c>
      <c r="E50" s="22">
        <v>625000</v>
      </c>
      <c r="F50" s="23">
        <f t="shared" si="1"/>
        <v>625000</v>
      </c>
    </row>
    <row r="51" spans="1:6" ht="15.75" x14ac:dyDescent="0.25">
      <c r="A51" s="2" t="s">
        <v>82</v>
      </c>
      <c r="B51" s="7" t="s">
        <v>81</v>
      </c>
      <c r="C51" s="34" t="s">
        <v>124</v>
      </c>
      <c r="D51" s="38">
        <v>1</v>
      </c>
      <c r="E51" s="24">
        <v>382000</v>
      </c>
      <c r="F51" s="25">
        <f t="shared" si="1"/>
        <v>382000</v>
      </c>
    </row>
    <row r="52" spans="1:6" ht="15.75" x14ac:dyDescent="0.25">
      <c r="A52" s="3" t="s">
        <v>23</v>
      </c>
      <c r="B52" s="8" t="s">
        <v>116</v>
      </c>
      <c r="C52" s="29" t="s">
        <v>124</v>
      </c>
      <c r="D52" s="39">
        <v>1</v>
      </c>
      <c r="E52" s="22">
        <v>84500</v>
      </c>
      <c r="F52" s="23">
        <f t="shared" si="1"/>
        <v>84500</v>
      </c>
    </row>
    <row r="53" spans="1:6" ht="16.5" thickBot="1" x14ac:dyDescent="0.3">
      <c r="A53" s="11" t="s">
        <v>83</v>
      </c>
      <c r="B53" s="7" t="s">
        <v>117</v>
      </c>
      <c r="C53" s="34" t="s">
        <v>124</v>
      </c>
      <c r="D53" s="38">
        <v>1</v>
      </c>
      <c r="E53" s="24">
        <v>680500</v>
      </c>
      <c r="F53" s="25">
        <f t="shared" si="1"/>
        <v>680500</v>
      </c>
    </row>
    <row r="54" spans="1:6" ht="16.5" thickBot="1" x14ac:dyDescent="0.3">
      <c r="A54" s="14" t="s">
        <v>44</v>
      </c>
      <c r="B54" s="15" t="s">
        <v>32</v>
      </c>
      <c r="C54" s="17"/>
      <c r="D54" s="20"/>
      <c r="E54" s="20"/>
      <c r="F54" s="21"/>
    </row>
    <row r="55" spans="1:6" ht="15.75" x14ac:dyDescent="0.25">
      <c r="A55" s="2" t="s">
        <v>27</v>
      </c>
      <c r="B55" s="7" t="s">
        <v>20</v>
      </c>
      <c r="C55" s="34" t="s">
        <v>17</v>
      </c>
      <c r="D55" s="30">
        <v>6</v>
      </c>
      <c r="E55" s="31">
        <v>22500</v>
      </c>
      <c r="F55" s="32">
        <f t="shared" si="1"/>
        <v>135000</v>
      </c>
    </row>
    <row r="56" spans="1:6" ht="15.75" x14ac:dyDescent="0.25">
      <c r="A56" s="3" t="s">
        <v>28</v>
      </c>
      <c r="B56" s="8" t="s">
        <v>24</v>
      </c>
      <c r="C56" s="29" t="s">
        <v>124</v>
      </c>
      <c r="D56" s="39">
        <v>1</v>
      </c>
      <c r="E56" s="22">
        <v>315500</v>
      </c>
      <c r="F56" s="23">
        <f t="shared" si="1"/>
        <v>315500</v>
      </c>
    </row>
    <row r="57" spans="1:6" ht="15.75" x14ac:dyDescent="0.25">
      <c r="A57" s="2" t="s">
        <v>29</v>
      </c>
      <c r="B57" s="7" t="s">
        <v>75</v>
      </c>
      <c r="C57" s="34" t="s">
        <v>124</v>
      </c>
      <c r="D57" s="38">
        <v>1</v>
      </c>
      <c r="E57" s="24">
        <v>254110</v>
      </c>
      <c r="F57" s="25">
        <f t="shared" si="1"/>
        <v>254110</v>
      </c>
    </row>
    <row r="58" spans="1:6" ht="15.75" x14ac:dyDescent="0.25">
      <c r="A58" s="3" t="s">
        <v>30</v>
      </c>
      <c r="B58" s="8" t="s">
        <v>74</v>
      </c>
      <c r="C58" s="29" t="s">
        <v>124</v>
      </c>
      <c r="D58" s="39">
        <v>1</v>
      </c>
      <c r="E58" s="22">
        <v>175000</v>
      </c>
      <c r="F58" s="23">
        <f t="shared" si="1"/>
        <v>175000</v>
      </c>
    </row>
    <row r="59" spans="1:6" ht="15.75" x14ac:dyDescent="0.25">
      <c r="A59" s="2" t="s">
        <v>77</v>
      </c>
      <c r="B59" s="7" t="s">
        <v>76</v>
      </c>
      <c r="C59" s="34" t="s">
        <v>124</v>
      </c>
      <c r="D59" s="38">
        <v>1</v>
      </c>
      <c r="E59" s="24">
        <v>168000</v>
      </c>
      <c r="F59" s="25">
        <f t="shared" si="1"/>
        <v>168000</v>
      </c>
    </row>
    <row r="60" spans="1:6" ht="16.5" thickBot="1" x14ac:dyDescent="0.3">
      <c r="A60" s="3" t="s">
        <v>78</v>
      </c>
      <c r="B60" s="8" t="s">
        <v>25</v>
      </c>
      <c r="C60" s="29" t="s">
        <v>124</v>
      </c>
      <c r="D60" s="39">
        <v>1</v>
      </c>
      <c r="E60" s="22">
        <v>45000</v>
      </c>
      <c r="F60" s="23">
        <f t="shared" si="1"/>
        <v>45000</v>
      </c>
    </row>
    <row r="61" spans="1:6" ht="16.5" thickBot="1" x14ac:dyDescent="0.3">
      <c r="A61" s="14" t="s">
        <v>45</v>
      </c>
      <c r="B61" s="15" t="s">
        <v>26</v>
      </c>
      <c r="C61" s="17"/>
      <c r="D61" s="20"/>
      <c r="E61" s="20"/>
      <c r="F61" s="21"/>
    </row>
    <row r="62" spans="1:6" ht="47.25" x14ac:dyDescent="0.25">
      <c r="A62" s="2" t="s">
        <v>110</v>
      </c>
      <c r="B62" s="4" t="s">
        <v>114</v>
      </c>
      <c r="C62" s="34" t="s">
        <v>120</v>
      </c>
      <c r="D62" s="30">
        <v>1350</v>
      </c>
      <c r="E62" s="31">
        <v>55</v>
      </c>
      <c r="F62" s="32">
        <f t="shared" si="1"/>
        <v>74250</v>
      </c>
    </row>
    <row r="63" spans="1:6" ht="47.25" x14ac:dyDescent="0.25">
      <c r="A63" s="3" t="s">
        <v>111</v>
      </c>
      <c r="B63" s="5" t="s">
        <v>118</v>
      </c>
      <c r="C63" s="29" t="s">
        <v>121</v>
      </c>
      <c r="D63" s="39">
        <v>1210</v>
      </c>
      <c r="E63" s="22">
        <v>320</v>
      </c>
      <c r="F63" s="23">
        <f t="shared" si="1"/>
        <v>387200</v>
      </c>
    </row>
    <row r="64" spans="1:6" ht="78.75" x14ac:dyDescent="0.25">
      <c r="A64" s="2" t="s">
        <v>112</v>
      </c>
      <c r="B64" s="4" t="s">
        <v>115</v>
      </c>
      <c r="C64" s="34" t="s">
        <v>123</v>
      </c>
      <c r="D64" s="38">
        <v>850</v>
      </c>
      <c r="E64" s="24">
        <v>160</v>
      </c>
      <c r="F64" s="25">
        <f t="shared" si="1"/>
        <v>136000</v>
      </c>
    </row>
    <row r="65" spans="1:7" ht="48" thickBot="1" x14ac:dyDescent="0.3">
      <c r="A65" s="18" t="s">
        <v>113</v>
      </c>
      <c r="B65" s="19" t="s">
        <v>119</v>
      </c>
      <c r="C65" s="46" t="s">
        <v>121</v>
      </c>
      <c r="D65" s="33">
        <v>612</v>
      </c>
      <c r="E65" s="26">
        <v>2100</v>
      </c>
      <c r="F65" s="70">
        <f t="shared" si="1"/>
        <v>1285200</v>
      </c>
    </row>
    <row r="66" spans="1:7" ht="15.75" x14ac:dyDescent="0.25">
      <c r="F66" s="71">
        <f>SUM(F1:F65)</f>
        <v>31294515</v>
      </c>
    </row>
    <row r="67" spans="1:7" ht="15.75" thickBot="1" x14ac:dyDescent="0.3"/>
    <row r="68" spans="1:7" ht="15.75" x14ac:dyDescent="0.25">
      <c r="A68" s="72" t="s">
        <v>33</v>
      </c>
      <c r="B68" s="73" t="s">
        <v>7</v>
      </c>
      <c r="C68" s="76">
        <f>SUM(F10:F11)</f>
        <v>903000</v>
      </c>
      <c r="D68" s="102"/>
      <c r="E68" s="103" t="str">
        <f>B68</f>
        <v>Earth Works</v>
      </c>
      <c r="F68" s="52">
        <f>C68</f>
        <v>903000</v>
      </c>
      <c r="G68" s="102">
        <f>F68/$F$74</f>
        <v>2.8854896776639612E-2</v>
      </c>
    </row>
    <row r="69" spans="1:7" ht="15.75" x14ac:dyDescent="0.25">
      <c r="A69" s="74" t="s">
        <v>34</v>
      </c>
      <c r="B69" s="75" t="s">
        <v>6</v>
      </c>
      <c r="C69" s="77">
        <f>SUM(F13:F18)</f>
        <v>16826550</v>
      </c>
      <c r="D69" s="102"/>
      <c r="E69" s="103" t="str">
        <f>B69</f>
        <v>Concrete Works</v>
      </c>
      <c r="F69" s="52">
        <f>C69</f>
        <v>16826550</v>
      </c>
      <c r="G69" s="102">
        <f t="shared" ref="G69:G73" si="2">F69/$F$74</f>
        <v>0.53768368035101355</v>
      </c>
    </row>
    <row r="70" spans="1:7" ht="15.75" x14ac:dyDescent="0.25">
      <c r="A70" s="74" t="s">
        <v>35</v>
      </c>
      <c r="B70" s="75" t="s">
        <v>8</v>
      </c>
      <c r="C70" s="77">
        <f>SUM(F20:F22)</f>
        <v>674225</v>
      </c>
      <c r="D70" s="102"/>
      <c r="E70" s="103" t="s">
        <v>125</v>
      </c>
      <c r="F70" s="52">
        <f>C70+C71+C72+C73+C74+C75+C77+C76</f>
        <v>8367705</v>
      </c>
      <c r="G70" s="102">
        <f t="shared" si="2"/>
        <v>0.2673856744544531</v>
      </c>
    </row>
    <row r="71" spans="1:7" ht="15.75" x14ac:dyDescent="0.25">
      <c r="A71" s="74" t="s">
        <v>36</v>
      </c>
      <c r="B71" s="75" t="s">
        <v>9</v>
      </c>
      <c r="C71" s="77">
        <f>SUM(F24)</f>
        <v>340000</v>
      </c>
      <c r="D71" s="102"/>
      <c r="E71" s="103" t="str">
        <f t="shared" ref="E71:F73" si="3">B78</f>
        <v>Plumbing Works</v>
      </c>
      <c r="F71" s="52">
        <f t="shared" si="3"/>
        <v>2222000</v>
      </c>
      <c r="G71" s="102">
        <f t="shared" si="2"/>
        <v>7.1002857849051179E-2</v>
      </c>
    </row>
    <row r="72" spans="1:7" ht="15.75" x14ac:dyDescent="0.25">
      <c r="A72" s="74" t="s">
        <v>37</v>
      </c>
      <c r="B72" s="75" t="s">
        <v>10</v>
      </c>
      <c r="C72" s="77">
        <f>SUM(F26:F28)</f>
        <v>1622700</v>
      </c>
      <c r="D72" s="102"/>
      <c r="E72" s="103" t="str">
        <f t="shared" si="3"/>
        <v>Electrical Works</v>
      </c>
      <c r="F72" s="52">
        <f t="shared" si="3"/>
        <v>1092610</v>
      </c>
      <c r="G72" s="102">
        <f t="shared" si="2"/>
        <v>3.4913786010104329E-2</v>
      </c>
    </row>
    <row r="73" spans="1:7" ht="15.75" x14ac:dyDescent="0.25">
      <c r="A73" s="74" t="s">
        <v>38</v>
      </c>
      <c r="B73" s="6" t="s">
        <v>11</v>
      </c>
      <c r="C73" s="77">
        <f>SUM(F30:F31)</f>
        <v>2078060</v>
      </c>
      <c r="D73" s="102"/>
      <c r="E73" s="103" t="str">
        <f t="shared" si="3"/>
        <v>Site Layout</v>
      </c>
      <c r="F73" s="52">
        <f t="shared" si="3"/>
        <v>1882650</v>
      </c>
      <c r="G73" s="102">
        <f t="shared" si="2"/>
        <v>6.0159104558738172E-2</v>
      </c>
    </row>
    <row r="74" spans="1:7" ht="15.75" x14ac:dyDescent="0.25">
      <c r="A74" s="74" t="s">
        <v>39</v>
      </c>
      <c r="B74" s="6" t="s">
        <v>12</v>
      </c>
      <c r="C74" s="77">
        <f>SUM(F33:F34)</f>
        <v>2523780</v>
      </c>
      <c r="D74" s="102"/>
      <c r="F74" s="52">
        <f>SUM(F68:F73)</f>
        <v>31294515</v>
      </c>
      <c r="G74" s="103">
        <f>SUM(G68:G73)</f>
        <v>1</v>
      </c>
    </row>
    <row r="75" spans="1:7" ht="15.75" x14ac:dyDescent="0.25">
      <c r="A75" s="74" t="s">
        <v>40</v>
      </c>
      <c r="B75" s="6" t="s">
        <v>13</v>
      </c>
      <c r="C75" s="77">
        <f>SUM(F36:F40)</f>
        <v>740320</v>
      </c>
      <c r="D75" s="102"/>
    </row>
    <row r="76" spans="1:7" ht="15.75" x14ac:dyDescent="0.25">
      <c r="A76" s="74" t="s">
        <v>41</v>
      </c>
      <c r="B76" s="6" t="s">
        <v>14</v>
      </c>
      <c r="C76" s="77">
        <f>SUM(F42:F43)</f>
        <v>316040</v>
      </c>
      <c r="D76" s="102"/>
    </row>
    <row r="77" spans="1:7" ht="15.75" x14ac:dyDescent="0.25">
      <c r="A77" s="74" t="s">
        <v>42</v>
      </c>
      <c r="B77" s="6" t="s">
        <v>15</v>
      </c>
      <c r="C77" s="77">
        <f>SUM(F45:F47)</f>
        <v>72580</v>
      </c>
      <c r="D77" s="102"/>
    </row>
    <row r="78" spans="1:7" ht="15.75" x14ac:dyDescent="0.25">
      <c r="A78" s="74" t="s">
        <v>43</v>
      </c>
      <c r="B78" s="6" t="s">
        <v>31</v>
      </c>
      <c r="C78" s="77">
        <f>SUM(F49:F53)</f>
        <v>2222000</v>
      </c>
      <c r="D78" s="102"/>
    </row>
    <row r="79" spans="1:7" ht="15.75" x14ac:dyDescent="0.25">
      <c r="A79" s="74" t="s">
        <v>44</v>
      </c>
      <c r="B79" s="6" t="s">
        <v>32</v>
      </c>
      <c r="C79" s="77">
        <f>SUM(F55:F60)</f>
        <v>1092610</v>
      </c>
      <c r="D79" s="102"/>
    </row>
    <row r="80" spans="1:7" ht="16.5" thickBot="1" x14ac:dyDescent="0.3">
      <c r="A80" s="74" t="s">
        <v>45</v>
      </c>
      <c r="B80" s="6" t="s">
        <v>26</v>
      </c>
      <c r="C80" s="77">
        <f>SUM(F62:F65)</f>
        <v>1882650</v>
      </c>
      <c r="D80" s="102"/>
    </row>
    <row r="81" spans="1:4" ht="19.5" thickBot="1" x14ac:dyDescent="0.3">
      <c r="A81" s="78"/>
      <c r="B81" s="79" t="s">
        <v>138</v>
      </c>
      <c r="C81" s="80">
        <f>SUM(C68:C80)</f>
        <v>31294515</v>
      </c>
      <c r="D81" s="102"/>
    </row>
  </sheetData>
  <pageMargins left="0.7" right="0.7" top="0.75" bottom="0.75" header="0.3" footer="0.3"/>
  <pageSetup paperSize="9" scale="63" orientation="portrait" r:id="rId1"/>
  <rowBreaks count="1" manualBreakCount="1">
    <brk id="35" max="5" man="1"/>
  </rowBreaks>
  <ignoredErrors>
    <ignoredError sqref="A19 A9 A25 A41 A54 A61 A12 A29 A32 A35 A44 A4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32"/>
  <sheetViews>
    <sheetView topLeftCell="A15" zoomScale="160" zoomScaleNormal="160" workbookViewId="0">
      <selection activeCell="D4" sqref="D4"/>
    </sheetView>
  </sheetViews>
  <sheetFormatPr defaultColWidth="8.85546875" defaultRowHeight="15.75" x14ac:dyDescent="0.25"/>
  <cols>
    <col min="1" max="2" width="8.85546875" style="53"/>
    <col min="3" max="3" width="21.7109375" style="55" customWidth="1"/>
    <col min="4" max="4" width="16.28515625" style="67" customWidth="1"/>
    <col min="5" max="5" width="52.7109375" style="53" bestFit="1" customWidth="1"/>
    <col min="6" max="16384" width="8.85546875" style="53"/>
  </cols>
  <sheetData>
    <row r="2" spans="1:4" ht="16.5" thickBot="1" x14ac:dyDescent="0.3">
      <c r="C2" s="54" t="s">
        <v>130</v>
      </c>
      <c r="D2" s="62" t="s">
        <v>128</v>
      </c>
    </row>
    <row r="3" spans="1:4" x14ac:dyDescent="0.25">
      <c r="C3" s="56" t="s">
        <v>132</v>
      </c>
      <c r="D3" s="63" t="s">
        <v>131</v>
      </c>
    </row>
    <row r="4" spans="1:4" x14ac:dyDescent="0.25">
      <c r="C4" s="57" t="s">
        <v>133</v>
      </c>
      <c r="D4" s="64">
        <v>44927</v>
      </c>
    </row>
    <row r="5" spans="1:4" x14ac:dyDescent="0.25">
      <c r="C5" s="58" t="s">
        <v>134</v>
      </c>
      <c r="D5" s="61" t="s">
        <v>129</v>
      </c>
    </row>
    <row r="6" spans="1:4" ht="16.5" thickBot="1" x14ac:dyDescent="0.3">
      <c r="C6" s="59" t="s">
        <v>135</v>
      </c>
      <c r="D6" s="65">
        <f>EDATE(D4,12)-1</f>
        <v>45291</v>
      </c>
    </row>
    <row r="7" spans="1:4" ht="16.5" thickBot="1" x14ac:dyDescent="0.3">
      <c r="C7" s="68" t="s">
        <v>137</v>
      </c>
      <c r="D7" s="69" t="s">
        <v>136</v>
      </c>
    </row>
    <row r="8" spans="1:4" x14ac:dyDescent="0.25">
      <c r="C8" s="60"/>
      <c r="D8" s="66"/>
    </row>
    <row r="10" spans="1:4" x14ac:dyDescent="0.25">
      <c r="C10" s="60"/>
      <c r="D10" s="66"/>
    </row>
    <row r="11" spans="1:4" x14ac:dyDescent="0.25">
      <c r="A11" s="53" t="s">
        <v>139</v>
      </c>
      <c r="B11" s="87">
        <v>0.33</v>
      </c>
      <c r="C11" s="85">
        <v>100</v>
      </c>
      <c r="D11" s="86"/>
    </row>
    <row r="12" spans="1:4" x14ac:dyDescent="0.25">
      <c r="A12" s="53" t="s">
        <v>140</v>
      </c>
      <c r="B12" s="87">
        <v>0.67</v>
      </c>
      <c r="C12" s="85">
        <f>C11/3</f>
        <v>33.333333333333336</v>
      </c>
      <c r="D12" s="86">
        <f>C12*2</f>
        <v>66.666666666666671</v>
      </c>
    </row>
    <row r="13" spans="1:4" x14ac:dyDescent="0.25">
      <c r="C13" s="85">
        <v>1</v>
      </c>
      <c r="D13" s="86">
        <v>0.02</v>
      </c>
    </row>
    <row r="14" spans="1:4" x14ac:dyDescent="0.25">
      <c r="C14" s="60"/>
      <c r="D14" s="66"/>
    </row>
    <row r="15" spans="1:4" x14ac:dyDescent="0.25">
      <c r="C15" s="60"/>
      <c r="D15" s="66"/>
    </row>
    <row r="16" spans="1:4" x14ac:dyDescent="0.25">
      <c r="B16" s="87">
        <v>1</v>
      </c>
      <c r="C16" s="53" t="s">
        <v>140</v>
      </c>
      <c r="D16" s="89">
        <f>2*$B$17</f>
        <v>0.13333333333333333</v>
      </c>
    </row>
    <row r="17" spans="2:4" x14ac:dyDescent="0.25">
      <c r="B17" s="88">
        <f>B16/15</f>
        <v>6.6666666666666666E-2</v>
      </c>
      <c r="C17" s="53" t="s">
        <v>141</v>
      </c>
      <c r="D17" s="89">
        <f>D16</f>
        <v>0.13333333333333333</v>
      </c>
    </row>
    <row r="18" spans="2:4" x14ac:dyDescent="0.25">
      <c r="C18" s="53" t="s">
        <v>142</v>
      </c>
      <c r="D18" s="89">
        <f>D17</f>
        <v>0.13333333333333333</v>
      </c>
    </row>
    <row r="19" spans="2:4" x14ac:dyDescent="0.25">
      <c r="C19" s="53" t="s">
        <v>143</v>
      </c>
      <c r="D19" s="89">
        <f>D18</f>
        <v>0.13333333333333333</v>
      </c>
    </row>
    <row r="20" spans="2:4" x14ac:dyDescent="0.25">
      <c r="C20" s="53" t="s">
        <v>144</v>
      </c>
      <c r="D20" s="89">
        <f>D19</f>
        <v>0.13333333333333333</v>
      </c>
    </row>
    <row r="21" spans="2:4" x14ac:dyDescent="0.25">
      <c r="C21" s="53" t="s">
        <v>145</v>
      </c>
      <c r="D21" s="89">
        <f>B17</f>
        <v>6.6666666666666666E-2</v>
      </c>
    </row>
    <row r="22" spans="2:4" x14ac:dyDescent="0.25">
      <c r="C22" s="53" t="s">
        <v>146</v>
      </c>
      <c r="D22" s="89">
        <f>B17</f>
        <v>6.6666666666666666E-2</v>
      </c>
    </row>
    <row r="23" spans="2:4" x14ac:dyDescent="0.25">
      <c r="C23" s="53" t="s">
        <v>147</v>
      </c>
      <c r="D23" s="89">
        <f>D20</f>
        <v>0.13333333333333333</v>
      </c>
    </row>
    <row r="24" spans="2:4" x14ac:dyDescent="0.25">
      <c r="C24" s="53" t="s">
        <v>139</v>
      </c>
      <c r="D24" s="89">
        <f>B17</f>
        <v>6.6666666666666666E-2</v>
      </c>
    </row>
    <row r="25" spans="2:4" x14ac:dyDescent="0.25">
      <c r="D25" s="89">
        <f>SUM(D16:D24)</f>
        <v>0.99999999999999989</v>
      </c>
    </row>
    <row r="30" spans="2:4" x14ac:dyDescent="0.25">
      <c r="C30" s="55" t="s">
        <v>148</v>
      </c>
      <c r="D30" s="90">
        <v>0.06</v>
      </c>
    </row>
    <row r="31" spans="2:4" x14ac:dyDescent="0.25">
      <c r="C31" s="55" t="s">
        <v>149</v>
      </c>
      <c r="D31" s="90">
        <v>0.9</v>
      </c>
    </row>
    <row r="32" spans="2:4" x14ac:dyDescent="0.25">
      <c r="C32" s="55" t="s">
        <v>150</v>
      </c>
      <c r="D32" s="90">
        <v>0.04</v>
      </c>
    </row>
  </sheetData>
  <phoneticPr fontId="4"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AX54"/>
  <sheetViews>
    <sheetView tabSelected="1" view="pageBreakPreview" zoomScale="60" zoomScaleNormal="55" workbookViewId="0">
      <selection activeCell="W16" sqref="W16"/>
    </sheetView>
  </sheetViews>
  <sheetFormatPr defaultColWidth="8.85546875" defaultRowHeight="21" x14ac:dyDescent="0.25"/>
  <cols>
    <col min="1" max="1" width="8.85546875" style="105"/>
    <col min="2" max="4" width="10.28515625" style="104" customWidth="1"/>
    <col min="5" max="5" width="4" style="104" customWidth="1"/>
    <col min="6" max="8" width="10.28515625" style="104" customWidth="1"/>
    <col min="9" max="9" width="4" style="104" customWidth="1"/>
    <col min="10" max="12" width="10.28515625" style="104" customWidth="1"/>
    <col min="13" max="13" width="4" style="104" customWidth="1"/>
    <col min="14" max="16" width="10.28515625" style="104" customWidth="1"/>
    <col min="17" max="17" width="4" style="104" customWidth="1"/>
    <col min="18" max="20" width="10.28515625" style="104" customWidth="1"/>
    <col min="21" max="24" width="8.85546875" style="104"/>
    <col min="25" max="25" width="23.140625" style="104" bestFit="1" customWidth="1"/>
    <col min="26" max="26" width="22.7109375" style="104" bestFit="1" customWidth="1"/>
    <col min="27" max="27" width="8.85546875" style="104"/>
    <col min="28" max="28" width="20.28515625" style="104" customWidth="1"/>
    <col min="29" max="29" width="16.7109375" style="104" bestFit="1" customWidth="1"/>
    <col min="30" max="31" width="12.28515625" style="104" customWidth="1"/>
    <col min="32" max="32" width="14.140625" style="104" bestFit="1" customWidth="1"/>
    <col min="33" max="33" width="19.140625" style="104" bestFit="1" customWidth="1"/>
    <col min="34" max="34" width="23.140625" style="104" bestFit="1" customWidth="1"/>
    <col min="35" max="35" width="19" style="104" bestFit="1" customWidth="1"/>
    <col min="36" max="36" width="14" style="104" bestFit="1" customWidth="1"/>
    <col min="37" max="37" width="27" style="104" bestFit="1" customWidth="1"/>
    <col min="38" max="38" width="28.28515625" style="104" bestFit="1" customWidth="1"/>
    <col min="39" max="39" width="24.28515625" style="104" bestFit="1" customWidth="1"/>
    <col min="40" max="40" width="13.7109375" style="104" bestFit="1" customWidth="1"/>
    <col min="41" max="41" width="15.28515625" style="104" bestFit="1" customWidth="1"/>
    <col min="42" max="42" width="13.7109375" style="104" bestFit="1" customWidth="1"/>
    <col min="43" max="50" width="15.28515625" style="104" bestFit="1" customWidth="1"/>
    <col min="51" max="16384" width="8.85546875" style="104"/>
  </cols>
  <sheetData>
    <row r="2" spans="2:50" ht="30" customHeight="1" x14ac:dyDescent="0.25">
      <c r="B2" s="134" t="s">
        <v>153</v>
      </c>
      <c r="C2" s="134"/>
      <c r="D2" s="134"/>
      <c r="E2" s="134"/>
      <c r="F2" s="134"/>
      <c r="G2" s="134"/>
      <c r="H2" s="134"/>
      <c r="I2" s="134"/>
      <c r="J2" s="134"/>
      <c r="K2" s="134"/>
      <c r="L2" s="134"/>
      <c r="M2" s="134"/>
      <c r="N2" s="134"/>
      <c r="O2" s="134"/>
      <c r="P2" s="134"/>
      <c r="Q2" s="134"/>
      <c r="R2" s="134"/>
      <c r="S2" s="134"/>
      <c r="T2" s="134"/>
    </row>
    <row r="3" spans="2:50" ht="22.15" customHeight="1" x14ac:dyDescent="0.25">
      <c r="B3" s="105"/>
      <c r="C3" s="105"/>
      <c r="D3" s="105"/>
      <c r="E3" s="105"/>
      <c r="F3" s="105"/>
      <c r="G3" s="105"/>
      <c r="H3" s="105"/>
      <c r="I3" s="105"/>
      <c r="J3" s="105"/>
      <c r="K3" s="105"/>
      <c r="L3" s="105"/>
      <c r="M3" s="105"/>
      <c r="N3" s="105"/>
      <c r="O3" s="105"/>
      <c r="P3" s="105"/>
      <c r="Q3" s="105"/>
      <c r="R3" s="105"/>
      <c r="S3" s="105"/>
      <c r="T3" s="105"/>
    </row>
    <row r="4" spans="2:50" ht="30" customHeight="1" x14ac:dyDescent="0.25">
      <c r="B4" s="121" t="s">
        <v>154</v>
      </c>
      <c r="C4" s="121"/>
      <c r="D4" s="121"/>
      <c r="E4" s="105"/>
      <c r="F4" s="121" t="s">
        <v>155</v>
      </c>
      <c r="G4" s="121"/>
      <c r="H4" s="121"/>
      <c r="I4" s="105"/>
      <c r="J4" s="121" t="s">
        <v>156</v>
      </c>
      <c r="K4" s="121"/>
      <c r="L4" s="121"/>
      <c r="M4" s="105"/>
      <c r="N4" s="121" t="s">
        <v>157</v>
      </c>
      <c r="O4" s="121"/>
      <c r="P4" s="121"/>
      <c r="Q4" s="105"/>
      <c r="R4" s="138"/>
      <c r="S4" s="138"/>
      <c r="T4" s="138"/>
      <c r="Y4" s="104" t="s">
        <v>163</v>
      </c>
      <c r="Z4" s="114">
        <v>0.1144</v>
      </c>
      <c r="AA4" s="107">
        <f>1-Z4</f>
        <v>0.88559999999999994</v>
      </c>
      <c r="AB4" s="111">
        <v>3580841</v>
      </c>
    </row>
    <row r="5" spans="2:50" ht="30" customHeight="1" x14ac:dyDescent="0.25">
      <c r="B5" s="135" t="s">
        <v>175</v>
      </c>
      <c r="C5" s="135"/>
      <c r="D5" s="135"/>
      <c r="E5" s="110"/>
      <c r="F5" s="136">
        <f>'Project Data'!D4</f>
        <v>44927</v>
      </c>
      <c r="G5" s="136"/>
      <c r="H5" s="136"/>
      <c r="I5" s="110"/>
      <c r="J5" s="136">
        <f>'Project Data'!D6</f>
        <v>45291</v>
      </c>
      <c r="K5" s="136"/>
      <c r="L5" s="136"/>
      <c r="M5" s="105"/>
      <c r="N5" s="137">
        <f>(J5-F5)+1</f>
        <v>365</v>
      </c>
      <c r="O5" s="137"/>
      <c r="P5" s="137"/>
      <c r="Q5" s="105"/>
      <c r="R5" s="105"/>
      <c r="S5" s="105"/>
      <c r="T5" s="105"/>
      <c r="Y5" s="104" t="s">
        <v>164</v>
      </c>
      <c r="Z5" s="114">
        <v>7.7399999999999997E-2</v>
      </c>
      <c r="AA5" s="107">
        <f>1-Z5</f>
        <v>0.92259999999999998</v>
      </c>
      <c r="AB5" s="111">
        <v>2422758</v>
      </c>
    </row>
    <row r="6" spans="2:50" s="105" customFormat="1" ht="22.15" customHeight="1" x14ac:dyDescent="0.25"/>
    <row r="7" spans="2:50" ht="30" customHeight="1" x14ac:dyDescent="0.25">
      <c r="B7" s="121" t="s">
        <v>158</v>
      </c>
      <c r="C7" s="121"/>
      <c r="D7" s="121"/>
      <c r="E7" s="105"/>
      <c r="F7" s="121" t="s">
        <v>159</v>
      </c>
      <c r="G7" s="121"/>
      <c r="H7" s="121"/>
      <c r="I7" s="105"/>
      <c r="J7" s="121" t="s">
        <v>160</v>
      </c>
      <c r="K7" s="121"/>
      <c r="L7" s="121"/>
      <c r="M7" s="105"/>
      <c r="N7" s="121" t="s">
        <v>161</v>
      </c>
      <c r="O7" s="121"/>
      <c r="P7" s="121"/>
      <c r="Q7" s="105"/>
      <c r="R7" s="105"/>
      <c r="S7" s="105"/>
      <c r="T7" s="105"/>
    </row>
    <row r="8" spans="2:50" ht="30" customHeight="1" x14ac:dyDescent="0.25">
      <c r="B8" s="127">
        <v>44972</v>
      </c>
      <c r="C8" s="127"/>
      <c r="D8" s="127"/>
      <c r="E8" s="110"/>
      <c r="F8" s="128">
        <f>BOQ!F66</f>
        <v>31294515</v>
      </c>
      <c r="G8" s="128"/>
      <c r="H8" s="128"/>
      <c r="I8" s="110"/>
      <c r="J8" s="122">
        <v>0</v>
      </c>
      <c r="K8" s="122"/>
      <c r="L8" s="122"/>
      <c r="M8" s="110"/>
      <c r="N8" s="130">
        <f>Z5/Z4</f>
        <v>0.67657342657342656</v>
      </c>
      <c r="O8" s="130"/>
      <c r="P8" s="130"/>
      <c r="Q8" s="105"/>
      <c r="R8" s="122"/>
      <c r="S8" s="122"/>
      <c r="T8" s="122"/>
      <c r="AF8" s="104" t="s">
        <v>126</v>
      </c>
      <c r="AG8" s="104" t="s">
        <v>176</v>
      </c>
      <c r="AH8" s="104" t="s">
        <v>127</v>
      </c>
      <c r="AI8" s="104" t="s">
        <v>177</v>
      </c>
      <c r="AJ8" s="104" t="s">
        <v>178</v>
      </c>
      <c r="AK8" s="104" t="s">
        <v>151</v>
      </c>
      <c r="AL8" s="104" t="s">
        <v>179</v>
      </c>
      <c r="AM8" s="104" t="s">
        <v>180</v>
      </c>
      <c r="AN8" s="115">
        <v>45017</v>
      </c>
      <c r="AO8" s="115">
        <v>45047</v>
      </c>
      <c r="AP8" s="115">
        <v>45078</v>
      </c>
      <c r="AQ8" s="115">
        <v>45108</v>
      </c>
      <c r="AR8" s="115">
        <v>45139</v>
      </c>
      <c r="AS8" s="115">
        <v>45170</v>
      </c>
      <c r="AT8" s="115">
        <v>45200</v>
      </c>
      <c r="AU8" s="115">
        <v>45231</v>
      </c>
      <c r="AV8" s="115">
        <v>45261</v>
      </c>
      <c r="AW8" s="115">
        <v>45292</v>
      </c>
      <c r="AX8" s="115">
        <v>45323</v>
      </c>
    </row>
    <row r="9" spans="2:50" s="105" customFormat="1" ht="22.15" customHeight="1" thickBot="1" x14ac:dyDescent="0.3">
      <c r="R9" s="129"/>
      <c r="S9" s="129"/>
      <c r="T9" s="129"/>
      <c r="AF9" s="105" t="s">
        <v>128</v>
      </c>
      <c r="AH9" s="105">
        <v>345</v>
      </c>
      <c r="AI9" s="105" t="s">
        <v>181</v>
      </c>
      <c r="AJ9" s="116">
        <v>45291</v>
      </c>
      <c r="AK9" s="117">
        <v>31294515</v>
      </c>
      <c r="AL9" s="117">
        <v>28557066</v>
      </c>
      <c r="AM9" s="117">
        <v>2777314</v>
      </c>
      <c r="AN9" s="117">
        <v>3799945</v>
      </c>
      <c r="AO9" s="117">
        <v>6613277</v>
      </c>
      <c r="AP9" s="117">
        <v>9326305</v>
      </c>
      <c r="AQ9" s="117">
        <v>12262606</v>
      </c>
      <c r="AR9" s="117">
        <v>14901077</v>
      </c>
      <c r="AS9" s="117">
        <v>17273522</v>
      </c>
      <c r="AT9" s="117">
        <v>22187139</v>
      </c>
      <c r="AU9" s="117">
        <v>25152750</v>
      </c>
      <c r="AV9" s="117">
        <v>28557066</v>
      </c>
      <c r="AW9" s="117">
        <v>28557066</v>
      </c>
      <c r="AX9" s="117">
        <v>28557066</v>
      </c>
    </row>
    <row r="10" spans="2:50" ht="30" customHeight="1" thickBot="1" x14ac:dyDescent="0.3">
      <c r="B10" s="121" t="s">
        <v>162</v>
      </c>
      <c r="C10" s="121"/>
      <c r="D10" s="121"/>
      <c r="E10" s="105"/>
      <c r="F10" s="121" t="s">
        <v>163</v>
      </c>
      <c r="G10" s="121"/>
      <c r="H10" s="121"/>
      <c r="I10" s="105"/>
      <c r="J10" s="121" t="s">
        <v>164</v>
      </c>
      <c r="K10" s="121"/>
      <c r="L10" s="121"/>
      <c r="M10" s="105"/>
      <c r="N10" s="131" t="s">
        <v>165</v>
      </c>
      <c r="O10" s="132"/>
      <c r="P10" s="133"/>
      <c r="Q10" s="105"/>
      <c r="R10" s="121" t="s">
        <v>167</v>
      </c>
      <c r="S10" s="121"/>
      <c r="T10" s="121"/>
      <c r="Y10" s="104" t="s">
        <v>166</v>
      </c>
      <c r="Z10" s="106">
        <f>F8</f>
        <v>31294515</v>
      </c>
      <c r="AN10" s="119">
        <f>AN9/$AK$9</f>
        <v>0.1214252721283586</v>
      </c>
      <c r="AO10" s="119">
        <f t="shared" ref="AO10:AX10" si="0">AO9/$AK$9</f>
        <v>0.21132383742007185</v>
      </c>
      <c r="AP10" s="119">
        <f t="shared" si="0"/>
        <v>0.29801724040139305</v>
      </c>
      <c r="AQ10" s="119">
        <f t="shared" si="0"/>
        <v>0.39184521632624758</v>
      </c>
      <c r="AR10" s="119">
        <f t="shared" si="0"/>
        <v>0.47615618903184792</v>
      </c>
      <c r="AS10" s="119">
        <f t="shared" si="0"/>
        <v>0.55196643884719099</v>
      </c>
      <c r="AT10" s="119">
        <f t="shared" si="0"/>
        <v>0.70897852227459024</v>
      </c>
      <c r="AU10" s="119">
        <f t="shared" si="0"/>
        <v>0.80374308405163009</v>
      </c>
      <c r="AV10" s="119">
        <f t="shared" si="0"/>
        <v>0.91252623662645038</v>
      </c>
      <c r="AW10" s="119">
        <f t="shared" si="0"/>
        <v>0.91252623662645038</v>
      </c>
      <c r="AX10" s="119">
        <f t="shared" si="0"/>
        <v>0.91252623662645038</v>
      </c>
    </row>
    <row r="11" spans="2:50" ht="30" customHeight="1" x14ac:dyDescent="0.25">
      <c r="B11" s="105"/>
      <c r="C11" s="105"/>
      <c r="D11" s="105"/>
      <c r="E11" s="105"/>
      <c r="F11" s="124">
        <f>AB4</f>
        <v>3580841</v>
      </c>
      <c r="G11" s="125"/>
      <c r="H11" s="125"/>
      <c r="I11" s="105"/>
      <c r="J11" s="124">
        <f>AB5</f>
        <v>2422758</v>
      </c>
      <c r="K11" s="125"/>
      <c r="L11" s="125"/>
      <c r="M11" s="105"/>
      <c r="N11" s="126">
        <f>K14-G14</f>
        <v>-3.7000000000000005E-2</v>
      </c>
      <c r="O11" s="126"/>
      <c r="P11" s="105"/>
      <c r="Q11" s="105"/>
      <c r="R11" s="105"/>
      <c r="S11" s="105"/>
      <c r="T11" s="105"/>
      <c r="U11" s="105"/>
      <c r="Y11" s="104" t="s">
        <v>167</v>
      </c>
      <c r="Z11" s="106">
        <v>1850000</v>
      </c>
      <c r="AN11" s="120">
        <f>AN10+$AE$21</f>
        <v>0.2101252721283586</v>
      </c>
      <c r="AO11" s="120">
        <f t="shared" ref="AO11:AX11" si="1">AO10+$AE$21</f>
        <v>0.30002383742007188</v>
      </c>
      <c r="AP11" s="120">
        <f t="shared" si="1"/>
        <v>0.38671724040139305</v>
      </c>
      <c r="AQ11" s="120">
        <f t="shared" si="1"/>
        <v>0.48054521632624758</v>
      </c>
      <c r="AR11" s="120">
        <f t="shared" si="1"/>
        <v>0.56485618903184798</v>
      </c>
      <c r="AS11" s="120">
        <f t="shared" si="1"/>
        <v>0.64066643884719099</v>
      </c>
      <c r="AT11" s="120">
        <f t="shared" si="1"/>
        <v>0.79767852227459024</v>
      </c>
      <c r="AU11" s="120">
        <f t="shared" si="1"/>
        <v>0.89244308405163009</v>
      </c>
      <c r="AV11" s="120">
        <f t="shared" si="1"/>
        <v>1.0012262366264504</v>
      </c>
      <c r="AW11" s="120">
        <f t="shared" si="1"/>
        <v>1.0012262366264504</v>
      </c>
      <c r="AX11" s="120">
        <f t="shared" si="1"/>
        <v>1.0012262366264504</v>
      </c>
    </row>
    <row r="12" spans="2:50" ht="30" customHeight="1" x14ac:dyDescent="0.25">
      <c r="B12" s="105"/>
      <c r="C12" s="105"/>
      <c r="D12" s="105"/>
      <c r="E12" s="105"/>
      <c r="F12" s="105"/>
      <c r="G12" s="105"/>
      <c r="H12" s="105"/>
      <c r="I12" s="105"/>
      <c r="J12" s="105"/>
      <c r="K12" s="105"/>
      <c r="L12" s="105"/>
      <c r="M12" s="105"/>
      <c r="N12" s="126"/>
      <c r="O12" s="126"/>
      <c r="P12" s="105"/>
      <c r="Q12" s="105"/>
      <c r="R12" s="105"/>
      <c r="S12" s="105"/>
      <c r="T12" s="105"/>
      <c r="U12" s="105"/>
      <c r="Z12" s="106"/>
    </row>
    <row r="13" spans="2:50" ht="30" customHeight="1" x14ac:dyDescent="0.25">
      <c r="B13" s="105"/>
      <c r="C13" s="105"/>
      <c r="D13" s="105"/>
      <c r="E13" s="105"/>
      <c r="F13" s="105"/>
      <c r="G13" s="105"/>
      <c r="H13" s="105"/>
      <c r="I13" s="105"/>
      <c r="J13" s="105"/>
      <c r="K13" s="105"/>
      <c r="L13" s="105"/>
      <c r="M13" s="105"/>
      <c r="N13" s="126"/>
      <c r="O13" s="126"/>
      <c r="P13" s="105"/>
      <c r="Q13" s="105"/>
      <c r="R13" s="105"/>
      <c r="S13" s="105"/>
      <c r="T13" s="105"/>
      <c r="U13" s="105"/>
      <c r="AN13" s="118">
        <v>0.2101252721283586</v>
      </c>
      <c r="AO13" s="118">
        <v>0.30002383742007188</v>
      </c>
      <c r="AP13" s="118">
        <v>0.38671724040139305</v>
      </c>
      <c r="AQ13" s="118">
        <v>0.48054521632624758</v>
      </c>
      <c r="AR13" s="118">
        <v>0.56485618903184798</v>
      </c>
      <c r="AS13" s="118">
        <v>0.64066643884719099</v>
      </c>
      <c r="AT13" s="118">
        <v>0.79767852227459024</v>
      </c>
      <c r="AU13" s="118">
        <v>0.89244308405163009</v>
      </c>
      <c r="AV13" s="118">
        <v>1.0012262366264504</v>
      </c>
      <c r="AW13" s="118">
        <v>1.0012262366264504</v>
      </c>
      <c r="AX13" s="118">
        <v>1.0012262366264504</v>
      </c>
    </row>
    <row r="14" spans="2:50" ht="30" customHeight="1" x14ac:dyDescent="0.25">
      <c r="B14" s="123">
        <f>Z23</f>
        <v>45</v>
      </c>
      <c r="C14" s="123"/>
      <c r="D14" s="123"/>
      <c r="E14" s="105"/>
      <c r="F14" s="105"/>
      <c r="G14" s="112">
        <f>Z4</f>
        <v>0.1144</v>
      </c>
      <c r="H14" s="105"/>
      <c r="I14" s="105"/>
      <c r="J14" s="105"/>
      <c r="K14" s="113">
        <f>Z5</f>
        <v>7.7399999999999997E-2</v>
      </c>
      <c r="L14" s="105"/>
      <c r="M14" s="105"/>
      <c r="N14" s="126"/>
      <c r="O14" s="126"/>
      <c r="P14" s="105"/>
      <c r="Q14" s="105"/>
      <c r="R14" s="105"/>
      <c r="S14" s="105"/>
      <c r="T14" s="105"/>
      <c r="U14" s="105"/>
    </row>
    <row r="15" spans="2:50" ht="30" customHeight="1" x14ac:dyDescent="0.25">
      <c r="B15" s="123"/>
      <c r="C15" s="123"/>
      <c r="D15" s="123"/>
      <c r="E15" s="105"/>
      <c r="F15" s="105"/>
      <c r="G15" s="105"/>
      <c r="H15" s="105"/>
      <c r="I15" s="105"/>
      <c r="J15" s="105"/>
      <c r="K15" s="105"/>
      <c r="L15" s="105"/>
      <c r="M15" s="105"/>
      <c r="N15" s="126"/>
      <c r="O15" s="126"/>
      <c r="P15" s="105"/>
      <c r="Q15" s="105"/>
      <c r="R15" s="105"/>
      <c r="S15" s="105"/>
      <c r="T15" s="105"/>
      <c r="U15" s="105"/>
    </row>
    <row r="16" spans="2:50" ht="30" customHeight="1" thickBot="1" x14ac:dyDescent="0.3">
      <c r="B16" s="105"/>
      <c r="C16" s="105"/>
      <c r="D16" s="105"/>
      <c r="E16" s="105"/>
      <c r="F16" s="105"/>
      <c r="G16" s="105"/>
      <c r="H16" s="105"/>
      <c r="I16" s="105"/>
      <c r="J16" s="105"/>
      <c r="K16" s="105"/>
      <c r="L16" s="105"/>
      <c r="M16" s="105"/>
      <c r="N16" s="126"/>
      <c r="O16" s="126"/>
      <c r="P16" s="105"/>
      <c r="Q16" s="105"/>
      <c r="R16" s="105"/>
      <c r="S16" s="105"/>
      <c r="T16" s="105"/>
      <c r="U16" s="105"/>
      <c r="Z16" s="111">
        <f>2422758-AE36</f>
        <v>972758</v>
      </c>
    </row>
    <row r="17" spans="2:32" ht="22.15" customHeight="1" thickBot="1" x14ac:dyDescent="0.3">
      <c r="B17" s="105"/>
      <c r="C17" s="105"/>
      <c r="D17" s="105"/>
      <c r="E17" s="105"/>
      <c r="F17" s="105"/>
      <c r="G17" s="105"/>
      <c r="H17" s="105"/>
      <c r="I17" s="105"/>
      <c r="J17" s="105"/>
      <c r="K17" s="105"/>
      <c r="L17" s="105"/>
      <c r="M17" s="105"/>
      <c r="N17" s="126"/>
      <c r="O17" s="126"/>
      <c r="P17" s="105"/>
      <c r="Q17" s="105"/>
      <c r="R17" s="105"/>
      <c r="S17" s="105"/>
      <c r="T17" s="105"/>
      <c r="U17" s="105"/>
      <c r="AC17" s="91" t="s">
        <v>152</v>
      </c>
      <c r="AD17" s="97" t="s">
        <v>168</v>
      </c>
      <c r="AE17" s="97" t="s">
        <v>169</v>
      </c>
      <c r="AF17" s="97" t="s">
        <v>170</v>
      </c>
    </row>
    <row r="18" spans="2:32" ht="22.15" customHeight="1" thickBot="1" x14ac:dyDescent="0.3">
      <c r="B18" s="105"/>
      <c r="C18" s="105"/>
      <c r="D18" s="105"/>
      <c r="E18" s="105"/>
      <c r="F18" s="105"/>
      <c r="G18" s="105"/>
      <c r="H18" s="105"/>
      <c r="I18" s="105"/>
      <c r="J18" s="105"/>
      <c r="K18" s="105"/>
      <c r="L18" s="105"/>
      <c r="M18" s="105"/>
      <c r="N18" s="105"/>
      <c r="O18" s="105"/>
      <c r="P18" s="105"/>
      <c r="Q18" s="105"/>
      <c r="R18" s="105"/>
      <c r="S18" s="105"/>
      <c r="T18" s="105"/>
      <c r="U18" s="105"/>
      <c r="AC18" s="92">
        <v>44896</v>
      </c>
      <c r="AD18" s="98">
        <v>0</v>
      </c>
      <c r="AE18" s="98">
        <v>0</v>
      </c>
      <c r="AF18" s="98"/>
    </row>
    <row r="19" spans="2:32" ht="30" customHeight="1" thickBot="1" x14ac:dyDescent="0.3">
      <c r="B19" s="105"/>
      <c r="C19" s="105"/>
      <c r="D19" s="105"/>
      <c r="E19" s="105"/>
      <c r="F19" s="105"/>
      <c r="G19" s="105"/>
      <c r="H19" s="105"/>
      <c r="I19" s="105"/>
      <c r="J19" s="105"/>
      <c r="K19" s="105"/>
      <c r="L19" s="105"/>
      <c r="M19" s="105"/>
      <c r="N19" s="105"/>
      <c r="O19" s="105"/>
      <c r="P19" s="105"/>
      <c r="Q19" s="105"/>
      <c r="R19" s="105"/>
      <c r="S19" s="105"/>
      <c r="T19" s="105"/>
      <c r="U19" s="105"/>
      <c r="AC19" s="92">
        <v>44941</v>
      </c>
      <c r="AD19" s="98">
        <v>5.4934610745684988E-2</v>
      </c>
      <c r="AE19" s="98">
        <v>0.04</v>
      </c>
      <c r="AF19" s="98"/>
    </row>
    <row r="20" spans="2:32" ht="30" customHeight="1" thickBot="1" x14ac:dyDescent="0.3">
      <c r="B20" s="105"/>
      <c r="C20" s="105"/>
      <c r="D20" s="105"/>
      <c r="E20" s="105"/>
      <c r="F20" s="105"/>
      <c r="G20" s="105"/>
      <c r="H20" s="105"/>
      <c r="I20" s="105"/>
      <c r="J20" s="105"/>
      <c r="K20" s="105"/>
      <c r="L20" s="105"/>
      <c r="M20" s="105"/>
      <c r="N20" s="105"/>
      <c r="O20" s="105"/>
      <c r="P20" s="105"/>
      <c r="Q20" s="105"/>
      <c r="R20" s="105"/>
      <c r="S20" s="105"/>
      <c r="T20" s="105"/>
      <c r="U20" s="105"/>
      <c r="AC20" s="92">
        <v>44958</v>
      </c>
      <c r="AD20" s="98">
        <v>0.19373947798839508</v>
      </c>
      <c r="AE20" s="98">
        <f>Z5</f>
        <v>7.7399999999999997E-2</v>
      </c>
      <c r="AF20" s="98"/>
    </row>
    <row r="21" spans="2:32" ht="30" customHeight="1" thickBot="1" x14ac:dyDescent="0.3">
      <c r="B21" s="105"/>
      <c r="C21" s="105"/>
      <c r="D21" s="105"/>
      <c r="E21" s="105"/>
      <c r="F21" s="105"/>
      <c r="G21" s="105"/>
      <c r="H21" s="105"/>
      <c r="I21" s="105"/>
      <c r="J21" s="105"/>
      <c r="K21" s="105"/>
      <c r="L21" s="105"/>
      <c r="M21" s="105"/>
      <c r="N21" s="105"/>
      <c r="O21" s="105"/>
      <c r="P21" s="105"/>
      <c r="Q21" s="105"/>
      <c r="R21" s="105"/>
      <c r="S21" s="105"/>
      <c r="T21" s="105"/>
      <c r="U21" s="105"/>
      <c r="AC21" s="92">
        <v>44986</v>
      </c>
      <c r="AD21" s="98">
        <v>0.26301407770658852</v>
      </c>
      <c r="AE21" s="98">
        <v>8.8700000000000001E-2</v>
      </c>
      <c r="AF21" s="98">
        <v>8.8700000000000001E-2</v>
      </c>
    </row>
    <row r="22" spans="2:32" ht="30" customHeight="1" thickBot="1" x14ac:dyDescent="0.3">
      <c r="B22" s="105"/>
      <c r="C22" s="105"/>
      <c r="D22" s="105"/>
      <c r="E22" s="105"/>
      <c r="F22" s="105"/>
      <c r="G22" s="105"/>
      <c r="H22" s="105"/>
      <c r="I22" s="105"/>
      <c r="J22" s="105"/>
      <c r="K22" s="105"/>
      <c r="L22" s="105"/>
      <c r="M22" s="105"/>
      <c r="N22" s="105"/>
      <c r="O22" s="105"/>
      <c r="P22" s="105"/>
      <c r="Q22" s="105"/>
      <c r="R22" s="105"/>
      <c r="S22" s="105"/>
      <c r="T22" s="105"/>
      <c r="U22" s="105"/>
      <c r="AC22" s="92">
        <v>45017</v>
      </c>
      <c r="AD22" s="98">
        <v>0.3424714203111951</v>
      </c>
      <c r="AE22" s="98"/>
      <c r="AF22" s="118">
        <v>0.2101252721283586</v>
      </c>
    </row>
    <row r="23" spans="2:32" ht="30" customHeight="1" thickBot="1" x14ac:dyDescent="0.3">
      <c r="B23" s="105"/>
      <c r="C23" s="105"/>
      <c r="D23" s="105"/>
      <c r="E23" s="105"/>
      <c r="F23" s="105"/>
      <c r="G23" s="105"/>
      <c r="H23" s="105"/>
      <c r="I23" s="105"/>
      <c r="J23" s="105"/>
      <c r="K23" s="105"/>
      <c r="L23" s="105"/>
      <c r="M23" s="105"/>
      <c r="N23" s="105"/>
      <c r="O23" s="105"/>
      <c r="P23" s="105"/>
      <c r="Q23" s="105"/>
      <c r="R23" s="105"/>
      <c r="S23" s="105"/>
      <c r="T23" s="105"/>
      <c r="U23" s="105"/>
      <c r="Y23" s="109" t="s">
        <v>162</v>
      </c>
      <c r="Z23" s="104">
        <f>B8-F5</f>
        <v>45</v>
      </c>
      <c r="AC23" s="92">
        <v>45047</v>
      </c>
      <c r="AD23" s="98">
        <v>0.42452420176506972</v>
      </c>
      <c r="AE23" s="98"/>
      <c r="AF23" s="118">
        <v>0.30002383742007188</v>
      </c>
    </row>
    <row r="24" spans="2:32" ht="30" customHeight="1" thickBot="1" x14ac:dyDescent="0.3">
      <c r="B24" s="105"/>
      <c r="C24" s="105"/>
      <c r="D24" s="105"/>
      <c r="E24" s="105"/>
      <c r="F24" s="105"/>
      <c r="G24" s="105"/>
      <c r="H24" s="105"/>
      <c r="I24" s="105"/>
      <c r="J24" s="105"/>
      <c r="K24" s="105"/>
      <c r="L24" s="105"/>
      <c r="M24" s="105"/>
      <c r="N24" s="105"/>
      <c r="O24" s="105"/>
      <c r="P24" s="105"/>
      <c r="Q24" s="105"/>
      <c r="R24" s="105"/>
      <c r="S24" s="105"/>
      <c r="T24" s="105"/>
      <c r="U24" s="105"/>
      <c r="Y24" s="109" t="s">
        <v>173</v>
      </c>
      <c r="Z24" s="108">
        <f>Z25-Z23</f>
        <v>320</v>
      </c>
      <c r="AC24" s="92">
        <v>45078</v>
      </c>
      <c r="AD24" s="98">
        <v>0.49437337501475898</v>
      </c>
      <c r="AE24" s="98"/>
      <c r="AF24" s="118">
        <v>0.38671724040139305</v>
      </c>
    </row>
    <row r="25" spans="2:32" ht="30" customHeight="1" thickBot="1" x14ac:dyDescent="0.3">
      <c r="B25" s="105"/>
      <c r="C25" s="105"/>
      <c r="D25" s="105"/>
      <c r="E25" s="105"/>
      <c r="F25" s="105"/>
      <c r="G25" s="105"/>
      <c r="H25" s="105"/>
      <c r="I25" s="105"/>
      <c r="J25" s="105"/>
      <c r="K25" s="105"/>
      <c r="L25" s="105"/>
      <c r="M25" s="105"/>
      <c r="N25" s="105"/>
      <c r="O25" s="105"/>
      <c r="P25" s="105"/>
      <c r="Q25" s="105"/>
      <c r="R25" s="105"/>
      <c r="S25" s="105"/>
      <c r="T25" s="105"/>
      <c r="U25" s="105"/>
      <c r="Y25" s="109" t="s">
        <v>174</v>
      </c>
      <c r="Z25" s="108">
        <f>N5</f>
        <v>365</v>
      </c>
      <c r="AC25" s="92">
        <v>45108</v>
      </c>
      <c r="AD25" s="98">
        <v>0.56460574640635908</v>
      </c>
      <c r="AE25" s="98"/>
      <c r="AF25" s="118">
        <v>0.48054521632624758</v>
      </c>
    </row>
    <row r="26" spans="2:32" ht="30" customHeight="1" thickBot="1" x14ac:dyDescent="0.3">
      <c r="B26" s="105"/>
      <c r="C26" s="105"/>
      <c r="D26" s="105"/>
      <c r="E26" s="105"/>
      <c r="F26" s="105"/>
      <c r="G26" s="105"/>
      <c r="H26" s="105"/>
      <c r="I26" s="105"/>
      <c r="J26" s="105"/>
      <c r="K26" s="105"/>
      <c r="L26" s="105"/>
      <c r="M26" s="105"/>
      <c r="N26" s="105"/>
      <c r="O26" s="105"/>
      <c r="P26" s="105"/>
      <c r="Q26" s="105"/>
      <c r="R26" s="105"/>
      <c r="S26" s="105"/>
      <c r="T26" s="105"/>
      <c r="U26" s="105"/>
      <c r="AC26" s="92">
        <v>45139</v>
      </c>
      <c r="AD26" s="98">
        <v>0.65529182989415236</v>
      </c>
      <c r="AE26" s="98"/>
      <c r="AF26" s="118">
        <v>0.56485618903184798</v>
      </c>
    </row>
    <row r="27" spans="2:32" ht="30" customHeight="1" thickBot="1" x14ac:dyDescent="0.3">
      <c r="B27" s="105"/>
      <c r="C27" s="105"/>
      <c r="D27" s="105"/>
      <c r="E27" s="105"/>
      <c r="F27" s="105"/>
      <c r="G27" s="105"/>
      <c r="H27" s="105"/>
      <c r="I27" s="105"/>
      <c r="J27" s="105"/>
      <c r="K27" s="105"/>
      <c r="L27" s="105"/>
      <c r="M27" s="105"/>
      <c r="N27" s="105"/>
      <c r="O27" s="105"/>
      <c r="P27" s="105"/>
      <c r="Q27" s="105"/>
      <c r="R27" s="105"/>
      <c r="S27" s="105"/>
      <c r="T27" s="105"/>
      <c r="U27" s="105"/>
      <c r="AC27" s="92">
        <v>45170</v>
      </c>
      <c r="AD27" s="98">
        <v>0.7296516018861452</v>
      </c>
      <c r="AE27" s="98"/>
      <c r="AF27" s="118">
        <v>0.64066643884719099</v>
      </c>
    </row>
    <row r="28" spans="2:32" ht="30" customHeight="1" thickBot="1" x14ac:dyDescent="0.3">
      <c r="B28" s="105"/>
      <c r="C28" s="105"/>
      <c r="D28" s="105"/>
      <c r="E28" s="105"/>
      <c r="F28" s="105"/>
      <c r="G28" s="105"/>
      <c r="H28" s="105"/>
      <c r="I28" s="105"/>
      <c r="J28" s="105"/>
      <c r="K28" s="105"/>
      <c r="L28" s="105"/>
      <c r="M28" s="105"/>
      <c r="N28" s="105"/>
      <c r="O28" s="105"/>
      <c r="P28" s="105"/>
      <c r="Q28" s="105"/>
      <c r="R28" s="105"/>
      <c r="S28" s="105"/>
      <c r="T28" s="105"/>
      <c r="U28" s="105"/>
      <c r="AC28" s="92">
        <v>45200</v>
      </c>
      <c r="AD28" s="98">
        <v>0.80989221274079504</v>
      </c>
      <c r="AE28" s="98"/>
      <c r="AF28" s="118">
        <v>0.81</v>
      </c>
    </row>
    <row r="29" spans="2:32" ht="30" customHeight="1" thickBot="1" x14ac:dyDescent="0.3">
      <c r="B29" s="105"/>
      <c r="C29" s="105"/>
      <c r="D29" s="105"/>
      <c r="E29" s="105"/>
      <c r="F29" s="105"/>
      <c r="G29" s="105"/>
      <c r="H29" s="105"/>
      <c r="I29" s="105"/>
      <c r="J29" s="105"/>
      <c r="K29" s="105"/>
      <c r="L29" s="105"/>
      <c r="M29" s="105"/>
      <c r="N29" s="105"/>
      <c r="O29" s="105"/>
      <c r="P29" s="105"/>
      <c r="Q29" s="105"/>
      <c r="R29" s="105"/>
      <c r="S29" s="105"/>
      <c r="T29" s="105"/>
      <c r="U29" s="105"/>
      <c r="AC29" s="92">
        <v>45231</v>
      </c>
      <c r="AD29" s="98">
        <v>0.94077224075848431</v>
      </c>
      <c r="AE29" s="98"/>
      <c r="AF29" s="118"/>
    </row>
    <row r="30" spans="2:32" ht="30" customHeight="1" thickBot="1" x14ac:dyDescent="0.3">
      <c r="B30" s="105"/>
      <c r="C30" s="105"/>
      <c r="D30" s="105"/>
      <c r="E30" s="105"/>
      <c r="F30" s="105"/>
      <c r="G30" s="105"/>
      <c r="H30" s="105"/>
      <c r="I30" s="105"/>
      <c r="J30" s="105"/>
      <c r="K30" s="105"/>
      <c r="L30" s="105"/>
      <c r="M30" s="105"/>
      <c r="N30" s="105"/>
      <c r="O30" s="105"/>
      <c r="P30" s="105"/>
      <c r="Q30" s="105"/>
      <c r="R30" s="105"/>
      <c r="S30" s="105"/>
      <c r="T30" s="105"/>
      <c r="U30" s="105"/>
      <c r="AC30" s="100">
        <v>45261</v>
      </c>
      <c r="AD30" s="98">
        <v>1</v>
      </c>
      <c r="AE30" s="98"/>
      <c r="AF30" s="118"/>
    </row>
    <row r="31" spans="2:32" ht="30" customHeight="1" thickBot="1" x14ac:dyDescent="0.3">
      <c r="B31" s="105"/>
      <c r="C31" s="105"/>
      <c r="D31" s="105"/>
      <c r="E31" s="105"/>
      <c r="F31" s="105"/>
      <c r="G31" s="105"/>
      <c r="H31" s="105"/>
      <c r="I31" s="105"/>
      <c r="J31" s="105"/>
      <c r="K31" s="105"/>
      <c r="L31" s="105"/>
      <c r="M31" s="105"/>
      <c r="N31" s="105"/>
      <c r="O31" s="105"/>
      <c r="P31" s="105"/>
      <c r="Q31" s="105"/>
      <c r="R31" s="105"/>
      <c r="S31" s="105"/>
      <c r="T31" s="105"/>
      <c r="U31" s="105"/>
      <c r="AC31" s="101">
        <v>45292</v>
      </c>
      <c r="AD31" s="98">
        <v>1</v>
      </c>
      <c r="AE31" s="98"/>
      <c r="AF31" s="118"/>
    </row>
    <row r="32" spans="2:32" ht="22.15" customHeight="1" x14ac:dyDescent="0.25">
      <c r="B32" s="105"/>
      <c r="C32" s="105"/>
      <c r="D32" s="105"/>
      <c r="E32" s="105"/>
      <c r="F32" s="105"/>
      <c r="G32" s="105"/>
      <c r="H32" s="105"/>
      <c r="I32" s="105"/>
      <c r="J32" s="105"/>
      <c r="K32" s="105"/>
      <c r="L32" s="105"/>
      <c r="M32" s="105"/>
      <c r="N32" s="105"/>
      <c r="O32" s="105"/>
      <c r="P32" s="105"/>
      <c r="Q32" s="105"/>
      <c r="R32" s="105"/>
      <c r="S32" s="105"/>
      <c r="T32" s="105"/>
      <c r="U32" s="105"/>
      <c r="AF32" s="118"/>
    </row>
    <row r="33" spans="2:31" ht="30" customHeight="1" x14ac:dyDescent="0.25">
      <c r="B33" s="105"/>
      <c r="C33" s="105"/>
      <c r="D33" s="105"/>
      <c r="E33" s="105"/>
      <c r="F33" s="105"/>
      <c r="G33" s="105"/>
      <c r="H33" s="105"/>
      <c r="I33" s="105"/>
      <c r="J33" s="105"/>
      <c r="K33" s="105"/>
      <c r="L33" s="105"/>
      <c r="M33" s="105"/>
      <c r="N33" s="105"/>
      <c r="O33" s="105"/>
      <c r="P33" s="105"/>
      <c r="Q33" s="105"/>
      <c r="R33" s="105"/>
      <c r="S33" s="105"/>
      <c r="T33" s="105"/>
      <c r="U33" s="105"/>
    </row>
    <row r="34" spans="2:31" ht="30" customHeight="1" thickBot="1" x14ac:dyDescent="0.3">
      <c r="B34" s="105"/>
      <c r="C34" s="105"/>
      <c r="D34" s="105"/>
      <c r="E34" s="105"/>
      <c r="F34" s="105"/>
      <c r="G34" s="105"/>
      <c r="H34" s="105"/>
      <c r="I34" s="105"/>
      <c r="J34" s="105"/>
      <c r="K34" s="105"/>
      <c r="L34" s="105"/>
      <c r="M34" s="105"/>
      <c r="N34" s="105"/>
      <c r="O34" s="105"/>
      <c r="P34" s="105"/>
      <c r="Q34" s="105"/>
      <c r="R34" s="105"/>
      <c r="S34" s="105"/>
      <c r="T34" s="105"/>
      <c r="U34" s="105"/>
    </row>
    <row r="35" spans="2:31" ht="30" customHeight="1" thickBot="1" x14ac:dyDescent="0.3">
      <c r="B35" s="105"/>
      <c r="C35" s="105"/>
      <c r="D35" s="105"/>
      <c r="E35" s="105"/>
      <c r="F35" s="105"/>
      <c r="G35" s="105"/>
      <c r="H35" s="105"/>
      <c r="I35" s="105"/>
      <c r="J35" s="105"/>
      <c r="K35" s="105"/>
      <c r="L35" s="105"/>
      <c r="M35" s="105"/>
      <c r="N35" s="105"/>
      <c r="O35" s="105"/>
      <c r="P35" s="105"/>
      <c r="Q35" s="105"/>
      <c r="R35" s="105"/>
      <c r="S35" s="105"/>
      <c r="T35" s="105"/>
      <c r="U35" s="105"/>
      <c r="AC35" s="91" t="s">
        <v>152</v>
      </c>
      <c r="AD35" s="94" t="s">
        <v>171</v>
      </c>
      <c r="AE35" s="97" t="s">
        <v>172</v>
      </c>
    </row>
    <row r="36" spans="2:31" ht="30" customHeight="1" thickBot="1" x14ac:dyDescent="0.3">
      <c r="B36" s="105"/>
      <c r="C36" s="105"/>
      <c r="D36" s="105"/>
      <c r="E36" s="105"/>
      <c r="F36" s="105"/>
      <c r="G36" s="105"/>
      <c r="H36" s="105"/>
      <c r="I36" s="105"/>
      <c r="J36" s="105"/>
      <c r="K36" s="105"/>
      <c r="L36" s="105"/>
      <c r="M36" s="105"/>
      <c r="N36" s="105"/>
      <c r="O36" s="105"/>
      <c r="P36" s="105"/>
      <c r="Q36" s="105"/>
      <c r="R36" s="105"/>
      <c r="S36" s="105"/>
      <c r="T36" s="105"/>
      <c r="U36" s="105"/>
      <c r="AC36" s="92">
        <v>44927</v>
      </c>
      <c r="AD36" s="95">
        <v>1719152</v>
      </c>
      <c r="AE36" s="95">
        <v>1450000</v>
      </c>
    </row>
    <row r="37" spans="2:31" ht="30" customHeight="1" thickBot="1" x14ac:dyDescent="0.3">
      <c r="B37" s="105"/>
      <c r="C37" s="105"/>
      <c r="D37" s="105"/>
      <c r="E37" s="105"/>
      <c r="F37" s="105"/>
      <c r="G37" s="105"/>
      <c r="H37" s="105"/>
      <c r="I37" s="105"/>
      <c r="J37" s="105"/>
      <c r="K37" s="105"/>
      <c r="L37" s="105"/>
      <c r="M37" s="105"/>
      <c r="N37" s="105"/>
      <c r="O37" s="105"/>
      <c r="P37" s="105"/>
      <c r="Q37" s="105"/>
      <c r="R37" s="105"/>
      <c r="S37" s="105"/>
      <c r="T37" s="105"/>
      <c r="U37" s="105"/>
      <c r="AC37" s="92">
        <v>44958</v>
      </c>
      <c r="AD37" s="95">
        <v>4343831</v>
      </c>
      <c r="AE37" s="95">
        <v>972785</v>
      </c>
    </row>
    <row r="38" spans="2:31" ht="30" customHeight="1" thickBot="1" x14ac:dyDescent="0.3">
      <c r="B38" s="105"/>
      <c r="C38" s="105"/>
      <c r="D38" s="105"/>
      <c r="E38" s="105"/>
      <c r="F38" s="105"/>
      <c r="G38" s="105"/>
      <c r="H38" s="105"/>
      <c r="I38" s="105"/>
      <c r="J38" s="105"/>
      <c r="K38" s="105"/>
      <c r="L38" s="105"/>
      <c r="M38" s="105"/>
      <c r="N38" s="105"/>
      <c r="O38" s="105"/>
      <c r="P38" s="105"/>
      <c r="Q38" s="105"/>
      <c r="R38" s="105"/>
      <c r="S38" s="105"/>
      <c r="T38" s="105"/>
      <c r="U38" s="105"/>
      <c r="AC38" s="92">
        <v>44986</v>
      </c>
      <c r="AD38" s="95">
        <v>2167916</v>
      </c>
      <c r="AE38" s="95"/>
    </row>
    <row r="39" spans="2:31" ht="30" customHeight="1" thickBot="1" x14ac:dyDescent="0.3">
      <c r="B39" s="105"/>
      <c r="C39" s="105"/>
      <c r="D39" s="105"/>
      <c r="E39" s="105"/>
      <c r="F39" s="105"/>
      <c r="G39" s="105"/>
      <c r="H39" s="105"/>
      <c r="I39" s="105"/>
      <c r="J39" s="105"/>
      <c r="K39" s="105"/>
      <c r="L39" s="105"/>
      <c r="M39" s="105"/>
      <c r="N39" s="105"/>
      <c r="O39" s="105"/>
      <c r="P39" s="105"/>
      <c r="Q39" s="105"/>
      <c r="R39" s="105"/>
      <c r="S39" s="105"/>
      <c r="T39" s="105"/>
      <c r="U39" s="105"/>
      <c r="AC39" s="92">
        <v>45017</v>
      </c>
      <c r="AD39" s="95">
        <v>2486578</v>
      </c>
      <c r="AE39" s="95"/>
    </row>
    <row r="40" spans="2:31" ht="30" customHeight="1" thickBot="1" x14ac:dyDescent="0.3">
      <c r="B40" s="105"/>
      <c r="C40" s="105"/>
      <c r="D40" s="105"/>
      <c r="E40" s="105"/>
      <c r="F40" s="105"/>
      <c r="G40" s="105"/>
      <c r="H40" s="105"/>
      <c r="I40" s="105"/>
      <c r="J40" s="105"/>
      <c r="K40" s="105"/>
      <c r="L40" s="105"/>
      <c r="M40" s="105"/>
      <c r="N40" s="105"/>
      <c r="O40" s="105"/>
      <c r="P40" s="105"/>
      <c r="Q40" s="105"/>
      <c r="R40" s="105"/>
      <c r="S40" s="105"/>
      <c r="T40" s="105"/>
      <c r="U40" s="105"/>
      <c r="AC40" s="92">
        <v>45047</v>
      </c>
      <c r="AD40" s="95">
        <v>2567802</v>
      </c>
      <c r="AE40" s="98"/>
    </row>
    <row r="41" spans="2:31" ht="30" customHeight="1" thickBot="1" x14ac:dyDescent="0.3">
      <c r="B41" s="105"/>
      <c r="C41" s="105"/>
      <c r="D41" s="105"/>
      <c r="E41" s="105"/>
      <c r="F41" s="105"/>
      <c r="G41" s="105"/>
      <c r="H41" s="105"/>
      <c r="I41" s="105"/>
      <c r="J41" s="105"/>
      <c r="K41" s="105"/>
      <c r="L41" s="105"/>
      <c r="M41" s="105"/>
      <c r="N41" s="105"/>
      <c r="O41" s="105"/>
      <c r="P41" s="105"/>
      <c r="Q41" s="105"/>
      <c r="R41" s="105"/>
      <c r="S41" s="105"/>
      <c r="T41" s="105"/>
      <c r="U41" s="105"/>
      <c r="AC41" s="92">
        <v>45078</v>
      </c>
      <c r="AD41" s="95">
        <v>2185897</v>
      </c>
      <c r="AE41" s="98"/>
    </row>
    <row r="42" spans="2:31" ht="30" customHeight="1" thickBot="1" x14ac:dyDescent="0.3">
      <c r="B42" s="105"/>
      <c r="C42" s="105"/>
      <c r="D42" s="105"/>
      <c r="E42" s="105"/>
      <c r="F42" s="105"/>
      <c r="G42" s="105"/>
      <c r="H42" s="105"/>
      <c r="I42" s="105"/>
      <c r="J42" s="105"/>
      <c r="K42" s="105"/>
      <c r="L42" s="105"/>
      <c r="M42" s="105"/>
      <c r="N42" s="105"/>
      <c r="O42" s="105"/>
      <c r="P42" s="105"/>
      <c r="Q42" s="105"/>
      <c r="R42" s="105"/>
      <c r="S42" s="105"/>
      <c r="T42" s="105"/>
      <c r="U42" s="105"/>
      <c r="AC42" s="92">
        <v>45108</v>
      </c>
      <c r="AD42" s="95">
        <v>2197887</v>
      </c>
      <c r="AE42" s="98"/>
    </row>
    <row r="43" spans="2:31" ht="30" customHeight="1" thickBot="1" x14ac:dyDescent="0.3">
      <c r="B43" s="105"/>
      <c r="C43" s="105"/>
      <c r="D43" s="105"/>
      <c r="E43" s="105"/>
      <c r="F43" s="105"/>
      <c r="G43" s="105"/>
      <c r="H43" s="105"/>
      <c r="I43" s="105"/>
      <c r="J43" s="105"/>
      <c r="K43" s="105"/>
      <c r="L43" s="105"/>
      <c r="M43" s="105"/>
      <c r="N43" s="105"/>
      <c r="O43" s="105"/>
      <c r="P43" s="105"/>
      <c r="Q43" s="105"/>
      <c r="R43" s="105"/>
      <c r="S43" s="105"/>
      <c r="T43" s="105"/>
      <c r="U43" s="105"/>
      <c r="AC43" s="92">
        <v>45139</v>
      </c>
      <c r="AD43" s="95">
        <v>2837977</v>
      </c>
      <c r="AE43" s="98"/>
    </row>
    <row r="44" spans="2:31" ht="30" customHeight="1" thickBot="1" x14ac:dyDescent="0.3">
      <c r="B44" s="105"/>
      <c r="C44" s="105"/>
      <c r="D44" s="105"/>
      <c r="E44" s="105"/>
      <c r="F44" s="105"/>
      <c r="G44" s="105"/>
      <c r="H44" s="105"/>
      <c r="I44" s="105"/>
      <c r="J44" s="105"/>
      <c r="K44" s="105"/>
      <c r="L44" s="105"/>
      <c r="M44" s="105"/>
      <c r="N44" s="105"/>
      <c r="O44" s="105"/>
      <c r="P44" s="105"/>
      <c r="Q44" s="105"/>
      <c r="R44" s="105"/>
      <c r="S44" s="105"/>
      <c r="T44" s="105"/>
      <c r="U44" s="105"/>
      <c r="AC44" s="92">
        <v>45170</v>
      </c>
      <c r="AD44" s="95">
        <v>2327053</v>
      </c>
      <c r="AE44" s="98"/>
    </row>
    <row r="45" spans="2:31" ht="30" customHeight="1" thickBot="1" x14ac:dyDescent="0.3">
      <c r="B45" s="105"/>
      <c r="C45" s="105"/>
      <c r="D45" s="105"/>
      <c r="E45" s="105"/>
      <c r="F45" s="105"/>
      <c r="G45" s="105"/>
      <c r="H45" s="105"/>
      <c r="I45" s="105"/>
      <c r="J45" s="105"/>
      <c r="K45" s="105"/>
      <c r="L45" s="105"/>
      <c r="M45" s="105"/>
      <c r="N45" s="105"/>
      <c r="O45" s="105"/>
      <c r="P45" s="105"/>
      <c r="Q45" s="105"/>
      <c r="R45" s="105"/>
      <c r="S45" s="105"/>
      <c r="T45" s="105"/>
      <c r="U45" s="105"/>
      <c r="AC45" s="92">
        <v>45200</v>
      </c>
      <c r="AD45" s="95">
        <v>2511091</v>
      </c>
      <c r="AE45" s="98"/>
    </row>
    <row r="46" spans="2:31" ht="30" customHeight="1" thickBot="1" x14ac:dyDescent="0.3">
      <c r="B46" s="105"/>
      <c r="C46" s="105"/>
      <c r="D46" s="105"/>
      <c r="E46" s="105"/>
      <c r="F46" s="105"/>
      <c r="G46" s="105"/>
      <c r="H46" s="105"/>
      <c r="I46" s="105"/>
      <c r="J46" s="105"/>
      <c r="K46" s="105"/>
      <c r="L46" s="105"/>
      <c r="M46" s="105"/>
      <c r="N46" s="105"/>
      <c r="O46" s="105"/>
      <c r="P46" s="105"/>
      <c r="Q46" s="105"/>
      <c r="R46" s="105"/>
      <c r="S46" s="105"/>
      <c r="T46" s="105"/>
      <c r="U46" s="105"/>
      <c r="AC46" s="92">
        <v>45231</v>
      </c>
      <c r="AD46" s="95">
        <v>4095826</v>
      </c>
      <c r="AE46" s="98"/>
    </row>
    <row r="47" spans="2:31" ht="30" customHeight="1" thickBot="1" x14ac:dyDescent="0.3">
      <c r="B47" s="105"/>
      <c r="C47" s="105"/>
      <c r="D47" s="105"/>
      <c r="E47" s="105"/>
      <c r="F47" s="105"/>
      <c r="G47" s="105"/>
      <c r="H47" s="105"/>
      <c r="I47" s="105"/>
      <c r="J47" s="105"/>
      <c r="K47" s="105"/>
      <c r="L47" s="105"/>
      <c r="M47" s="105"/>
      <c r="N47" s="105"/>
      <c r="O47" s="105"/>
      <c r="P47" s="105"/>
      <c r="Q47" s="105"/>
      <c r="R47" s="105"/>
      <c r="S47" s="105"/>
      <c r="T47" s="105"/>
      <c r="U47" s="105"/>
      <c r="AC47" s="93">
        <v>45261</v>
      </c>
      <c r="AD47" s="96">
        <v>1853504</v>
      </c>
      <c r="AE47" s="99"/>
    </row>
    <row r="48" spans="2:31" x14ac:dyDescent="0.25">
      <c r="B48" s="105"/>
      <c r="C48" s="105"/>
      <c r="D48" s="105"/>
      <c r="E48" s="105"/>
      <c r="F48" s="105"/>
      <c r="G48" s="105"/>
      <c r="H48" s="105"/>
      <c r="I48" s="105"/>
      <c r="J48" s="105"/>
      <c r="K48" s="105"/>
      <c r="L48" s="105"/>
      <c r="M48" s="105"/>
      <c r="N48" s="105"/>
      <c r="O48" s="105"/>
      <c r="P48" s="105"/>
      <c r="Q48" s="105"/>
      <c r="R48" s="105"/>
      <c r="S48" s="105"/>
      <c r="T48" s="105"/>
      <c r="U48" s="105"/>
    </row>
    <row r="49" spans="2:21" x14ac:dyDescent="0.25">
      <c r="B49" s="105"/>
      <c r="C49" s="105"/>
      <c r="D49" s="105"/>
      <c r="E49" s="105"/>
      <c r="F49" s="105"/>
      <c r="G49" s="105"/>
      <c r="H49" s="105"/>
      <c r="I49" s="105"/>
      <c r="J49" s="105"/>
      <c r="K49" s="105"/>
      <c r="L49" s="105"/>
      <c r="M49" s="105"/>
      <c r="N49" s="105"/>
      <c r="O49" s="105"/>
      <c r="P49" s="105"/>
      <c r="Q49" s="105"/>
      <c r="R49" s="105"/>
      <c r="S49" s="105"/>
      <c r="T49" s="105"/>
      <c r="U49" s="105"/>
    </row>
    <row r="50" spans="2:21" x14ac:dyDescent="0.25">
      <c r="B50" s="105"/>
      <c r="C50" s="105"/>
      <c r="D50" s="105"/>
      <c r="E50" s="105"/>
      <c r="F50" s="105"/>
      <c r="G50" s="105"/>
      <c r="H50" s="105"/>
      <c r="I50" s="105"/>
      <c r="J50" s="105"/>
      <c r="K50" s="105"/>
      <c r="L50" s="105"/>
      <c r="M50" s="105"/>
      <c r="N50" s="105"/>
      <c r="O50" s="105"/>
      <c r="P50" s="105"/>
      <c r="Q50" s="105"/>
      <c r="R50" s="105"/>
      <c r="S50" s="105"/>
      <c r="T50" s="105"/>
      <c r="U50" s="105"/>
    </row>
    <row r="51" spans="2:21" x14ac:dyDescent="0.25">
      <c r="B51" s="105"/>
      <c r="C51" s="105"/>
      <c r="D51" s="105"/>
      <c r="E51" s="105"/>
      <c r="F51" s="105"/>
      <c r="G51" s="105"/>
      <c r="H51" s="105"/>
      <c r="I51" s="105"/>
      <c r="J51" s="105"/>
      <c r="K51" s="105"/>
      <c r="L51" s="105"/>
      <c r="M51" s="105"/>
      <c r="N51" s="105"/>
      <c r="O51" s="105"/>
      <c r="P51" s="105"/>
      <c r="Q51" s="105"/>
      <c r="R51" s="105"/>
      <c r="S51" s="105"/>
      <c r="T51" s="105"/>
      <c r="U51" s="105"/>
    </row>
    <row r="52" spans="2:21" x14ac:dyDescent="0.25">
      <c r="B52" s="105"/>
      <c r="C52" s="105"/>
      <c r="D52" s="105"/>
      <c r="E52" s="105"/>
      <c r="F52" s="105"/>
      <c r="G52" s="105"/>
      <c r="H52" s="105"/>
      <c r="I52" s="105"/>
      <c r="J52" s="105"/>
      <c r="K52" s="105"/>
      <c r="L52" s="105"/>
      <c r="M52" s="105"/>
      <c r="N52" s="105"/>
      <c r="O52" s="105"/>
      <c r="P52" s="105"/>
      <c r="Q52" s="105"/>
      <c r="R52" s="105"/>
      <c r="S52" s="105"/>
      <c r="T52" s="105"/>
      <c r="U52" s="105"/>
    </row>
    <row r="53" spans="2:21" x14ac:dyDescent="0.25">
      <c r="B53" s="105"/>
      <c r="C53" s="105"/>
      <c r="D53" s="105"/>
      <c r="E53" s="105"/>
      <c r="F53" s="105"/>
      <c r="G53" s="105"/>
      <c r="H53" s="105"/>
      <c r="I53" s="105"/>
      <c r="J53" s="105"/>
      <c r="K53" s="105"/>
      <c r="L53" s="105"/>
      <c r="M53" s="105"/>
      <c r="N53" s="105"/>
      <c r="O53" s="105"/>
      <c r="P53" s="105"/>
      <c r="Q53" s="105"/>
      <c r="R53" s="105"/>
      <c r="S53" s="105"/>
      <c r="T53" s="105"/>
      <c r="U53" s="105"/>
    </row>
    <row r="54" spans="2:21" x14ac:dyDescent="0.25">
      <c r="U54" s="105"/>
    </row>
  </sheetData>
  <mergeCells count="29">
    <mergeCell ref="F10:H10"/>
    <mergeCell ref="J10:L10"/>
    <mergeCell ref="N10:P10"/>
    <mergeCell ref="B2:T2"/>
    <mergeCell ref="B4:D4"/>
    <mergeCell ref="B5:D5"/>
    <mergeCell ref="F4:H4"/>
    <mergeCell ref="F5:H5"/>
    <mergeCell ref="J4:L4"/>
    <mergeCell ref="J5:L5"/>
    <mergeCell ref="N4:P4"/>
    <mergeCell ref="N5:P5"/>
    <mergeCell ref="R4:T4"/>
    <mergeCell ref="N7:P7"/>
    <mergeCell ref="R8:T8"/>
    <mergeCell ref="R10:T10"/>
    <mergeCell ref="B14:D15"/>
    <mergeCell ref="F11:H11"/>
    <mergeCell ref="J11:L11"/>
    <mergeCell ref="N11:O17"/>
    <mergeCell ref="B7:D7"/>
    <mergeCell ref="B8:D8"/>
    <mergeCell ref="F7:H7"/>
    <mergeCell ref="F8:H8"/>
    <mergeCell ref="J7:L7"/>
    <mergeCell ref="R9:T9"/>
    <mergeCell ref="N8:P8"/>
    <mergeCell ref="J8:L8"/>
    <mergeCell ref="B10:D10"/>
  </mergeCells>
  <printOptions horizontalCentered="1" verticalCentered="1"/>
  <pageMargins left="0.5" right="0.5" top="0.5" bottom="0.5" header="0.5" footer="0.5"/>
  <pageSetup paperSize="9" scale="5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BOQ</vt:lpstr>
      <vt:lpstr>Project Data</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dc:creator>
  <cp:lastModifiedBy>HP</cp:lastModifiedBy>
  <cp:lastPrinted>2026-02-08T20:37:29Z</cp:lastPrinted>
  <dcterms:created xsi:type="dcterms:W3CDTF">2015-06-05T18:17:20Z</dcterms:created>
  <dcterms:modified xsi:type="dcterms:W3CDTF">2026-02-08T20:46:09Z</dcterms:modified>
</cp:coreProperties>
</file>